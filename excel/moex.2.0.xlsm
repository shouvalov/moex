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Workplace\Projects\moex.vba\"/>
    </mc:Choice>
  </mc:AlternateContent>
  <bookViews>
    <workbookView xWindow="-105" yWindow="-105" windowWidth="28905" windowHeight="11640"/>
  </bookViews>
  <sheets>
    <sheet name="Лист1" sheetId="1" r:id="rId1"/>
    <sheet name="SBER" sheetId="2" r:id="rId2"/>
    <sheet name="GAZP" sheetId="3" r:id="rId3"/>
  </sheets>
  <functionGroups builtInGroupCount="18"/>
  <definedNames>
    <definedName name="Даты">Лист1!$C$5:$C$1000</definedName>
  </definedNames>
  <calcPr calcId="152511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3" l="1"/>
  <c r="D11" i="3" s="1"/>
  <c r="D4" i="2"/>
  <c r="D11" i="2" s="1"/>
  <c r="D14" i="3"/>
  <c r="D8" i="3"/>
  <c r="D7" i="3"/>
  <c r="D6" i="3"/>
  <c r="B3" i="1"/>
  <c r="D14" i="2"/>
  <c r="D6" i="2"/>
  <c r="D8" i="2"/>
  <c r="D7" i="2"/>
  <c r="D12" i="3" l="1"/>
  <c r="D9" i="3"/>
  <c r="D9" i="2"/>
  <c r="D12" i="2"/>
  <c r="D13" i="3"/>
  <c r="D13" i="2"/>
  <c r="D10" i="2"/>
  <c r="B100" i="3" l="1"/>
  <c r="B60" i="3"/>
  <c r="B53" i="3"/>
  <c r="B61" i="3"/>
  <c r="B69" i="3"/>
  <c r="B77" i="3"/>
  <c r="B85" i="3"/>
  <c r="B93" i="3"/>
  <c r="B101" i="3"/>
  <c r="B76" i="3"/>
  <c r="B54" i="3"/>
  <c r="B62" i="3"/>
  <c r="B70" i="3"/>
  <c r="B78" i="3"/>
  <c r="B86" i="3"/>
  <c r="B94" i="3"/>
  <c r="B102" i="3"/>
  <c r="B64" i="3"/>
  <c r="B80" i="3"/>
  <c r="B96" i="3"/>
  <c r="B74" i="3"/>
  <c r="B55" i="3"/>
  <c r="B63" i="3"/>
  <c r="B71" i="3"/>
  <c r="B79" i="3"/>
  <c r="B87" i="3"/>
  <c r="B95" i="3"/>
  <c r="B103" i="3"/>
  <c r="B56" i="3"/>
  <c r="B72" i="3"/>
  <c r="B88" i="3"/>
  <c r="B82" i="3"/>
  <c r="B59" i="3"/>
  <c r="B75" i="3"/>
  <c r="B91" i="3"/>
  <c r="B57" i="3"/>
  <c r="B65" i="3"/>
  <c r="B73" i="3"/>
  <c r="B81" i="3"/>
  <c r="B89" i="3"/>
  <c r="B97" i="3"/>
  <c r="B58" i="3"/>
  <c r="B66" i="3"/>
  <c r="B90" i="3"/>
  <c r="B98" i="3"/>
  <c r="B67" i="3"/>
  <c r="B83" i="3"/>
  <c r="B99" i="3"/>
  <c r="B68" i="3"/>
  <c r="B84" i="3"/>
  <c r="B92" i="3"/>
  <c r="B28" i="3"/>
  <c r="B20" i="3"/>
  <c r="B52" i="3"/>
  <c r="B48" i="3"/>
  <c r="B44" i="3"/>
  <c r="B40" i="3"/>
  <c r="B36" i="3"/>
  <c r="B33" i="3"/>
  <c r="B25" i="3"/>
  <c r="B17" i="3"/>
  <c r="B49" i="3"/>
  <c r="B45" i="3"/>
  <c r="B41" i="3"/>
  <c r="B37" i="3"/>
  <c r="B31" i="3"/>
  <c r="B23" i="3"/>
  <c r="B30" i="3"/>
  <c r="B22" i="3"/>
  <c r="B51" i="3"/>
  <c r="B47" i="3"/>
  <c r="B43" i="3"/>
  <c r="B39" i="3"/>
  <c r="B35" i="3"/>
  <c r="B27" i="3"/>
  <c r="B19" i="3"/>
  <c r="B32" i="3"/>
  <c r="B24" i="3"/>
  <c r="B16" i="3"/>
  <c r="B50" i="3"/>
  <c r="B46" i="3"/>
  <c r="B42" i="3"/>
  <c r="B38" i="3"/>
  <c r="B29" i="3"/>
  <c r="B21" i="3"/>
  <c r="B34" i="3"/>
  <c r="B26" i="3"/>
  <c r="B18" i="3"/>
  <c r="B17" i="2"/>
  <c r="B25" i="2"/>
  <c r="B33" i="2"/>
  <c r="B30" i="2"/>
  <c r="B23" i="2"/>
  <c r="B24" i="2"/>
  <c r="B18" i="2"/>
  <c r="B26" i="2"/>
  <c r="B34" i="2"/>
  <c r="B19" i="2"/>
  <c r="B27" i="2"/>
  <c r="B35" i="2"/>
  <c r="B20" i="2"/>
  <c r="B28" i="2"/>
  <c r="B36" i="2"/>
  <c r="B22" i="2"/>
  <c r="B31" i="2"/>
  <c r="B32" i="2"/>
  <c r="B21" i="2"/>
  <c r="B29" i="2"/>
  <c r="B37" i="2"/>
  <c r="B38" i="2"/>
  <c r="B39" i="2"/>
  <c r="B16" i="2"/>
  <c r="B52" i="2"/>
  <c r="B40" i="2"/>
  <c r="B48" i="2"/>
  <c r="B45" i="2"/>
  <c r="B47" i="2"/>
  <c r="B41" i="2"/>
  <c r="B49" i="2"/>
  <c r="B42" i="2"/>
  <c r="B50" i="2"/>
  <c r="B43" i="2"/>
  <c r="B51" i="2"/>
  <c r="B44" i="2"/>
  <c r="B46" i="2"/>
  <c r="D100" i="3"/>
  <c r="C100" i="3"/>
  <c r="D101" i="3"/>
  <c r="C101" i="3"/>
  <c r="D102" i="3"/>
  <c r="C102" i="3"/>
  <c r="D79" i="3"/>
  <c r="C79" i="3"/>
  <c r="D59" i="3"/>
  <c r="C59" i="3"/>
  <c r="D97" i="3"/>
  <c r="C97" i="3"/>
  <c r="C68" i="3"/>
  <c r="D68" i="3"/>
  <c r="D40" i="3"/>
  <c r="D37" i="3"/>
  <c r="D39" i="3"/>
  <c r="D46" i="3"/>
  <c r="C60" i="3"/>
  <c r="D60" i="3"/>
  <c r="C76" i="3"/>
  <c r="D76" i="3"/>
  <c r="C64" i="3"/>
  <c r="D64" i="3"/>
  <c r="D87" i="3"/>
  <c r="C87" i="3"/>
  <c r="D75" i="3"/>
  <c r="C75" i="3"/>
  <c r="D58" i="3"/>
  <c r="C58" i="3"/>
  <c r="C84" i="3"/>
  <c r="D84" i="3"/>
  <c r="D36" i="3"/>
  <c r="D35" i="3"/>
  <c r="D42" i="3"/>
  <c r="D41" i="3"/>
  <c r="D53" i="3"/>
  <c r="C53" i="3"/>
  <c r="D54" i="3"/>
  <c r="C54" i="3"/>
  <c r="C80" i="3"/>
  <c r="D80" i="3"/>
  <c r="D95" i="3"/>
  <c r="C95" i="3"/>
  <c r="D91" i="3"/>
  <c r="C91" i="3"/>
  <c r="D66" i="3"/>
  <c r="C66" i="3"/>
  <c r="C92" i="3"/>
  <c r="D92" i="3"/>
  <c r="D38" i="3"/>
  <c r="D50" i="3"/>
  <c r="D61" i="3"/>
  <c r="C61" i="3"/>
  <c r="D62" i="3"/>
  <c r="C62" i="3"/>
  <c r="C96" i="3"/>
  <c r="D96" i="3"/>
  <c r="D103" i="3"/>
  <c r="C103" i="3"/>
  <c r="C57" i="3"/>
  <c r="D57" i="3"/>
  <c r="D90" i="3"/>
  <c r="C90" i="3"/>
  <c r="C99" i="3"/>
  <c r="D99" i="3"/>
  <c r="D69" i="3"/>
  <c r="C69" i="3"/>
  <c r="D70" i="3"/>
  <c r="C70" i="3"/>
  <c r="D74" i="3"/>
  <c r="C74" i="3"/>
  <c r="D56" i="3"/>
  <c r="C56" i="3"/>
  <c r="C65" i="3"/>
  <c r="D65" i="3"/>
  <c r="D98" i="3"/>
  <c r="C98" i="3"/>
  <c r="D44" i="3"/>
  <c r="D77" i="3"/>
  <c r="C77" i="3"/>
  <c r="D78" i="3"/>
  <c r="C78" i="3"/>
  <c r="D55" i="3"/>
  <c r="C55" i="3"/>
  <c r="C72" i="3"/>
  <c r="D72" i="3"/>
  <c r="C73" i="3"/>
  <c r="D73" i="3"/>
  <c r="D67" i="3"/>
  <c r="C67" i="3"/>
  <c r="D52" i="3"/>
  <c r="D49" i="3"/>
  <c r="D51" i="3"/>
  <c r="D94" i="3"/>
  <c r="C94" i="3"/>
  <c r="D82" i="3"/>
  <c r="C82" i="3"/>
  <c r="D43" i="3"/>
  <c r="D85" i="3"/>
  <c r="C85" i="3"/>
  <c r="D86" i="3"/>
  <c r="C86" i="3"/>
  <c r="D63" i="3"/>
  <c r="C63" i="3"/>
  <c r="C88" i="3"/>
  <c r="D88" i="3"/>
  <c r="C81" i="3"/>
  <c r="D81" i="3"/>
  <c r="D83" i="3"/>
  <c r="C83" i="3"/>
  <c r="D48" i="3"/>
  <c r="D45" i="3"/>
  <c r="D47" i="3"/>
  <c r="D93" i="3"/>
  <c r="C93" i="3"/>
  <c r="D71" i="3"/>
  <c r="C71" i="3"/>
  <c r="C89" i="3"/>
  <c r="D89" i="3"/>
  <c r="C38" i="3"/>
  <c r="C52" i="3"/>
  <c r="D10" i="3"/>
  <c r="C42" i="3"/>
  <c r="C48" i="3"/>
  <c r="C49" i="3"/>
  <c r="C51" i="3"/>
  <c r="C35" i="3"/>
  <c r="C44" i="3"/>
  <c r="C45" i="3"/>
  <c r="C47" i="3"/>
  <c r="C40" i="3"/>
  <c r="C41" i="3"/>
  <c r="C43" i="3"/>
  <c r="C50" i="3"/>
  <c r="C36" i="3"/>
  <c r="C37" i="3"/>
  <c r="C39" i="3"/>
  <c r="C46" i="3"/>
  <c r="D17" i="2"/>
  <c r="D34" i="2"/>
  <c r="D31" i="2"/>
  <c r="D25" i="2"/>
  <c r="D19" i="2"/>
  <c r="D32" i="2"/>
  <c r="D33" i="2"/>
  <c r="D27" i="2"/>
  <c r="D21" i="2"/>
  <c r="D30" i="2"/>
  <c r="D29" i="2"/>
  <c r="D28" i="2"/>
  <c r="D23" i="2"/>
  <c r="D20" i="2"/>
  <c r="D24" i="2"/>
  <c r="D18" i="2"/>
  <c r="D26" i="2"/>
  <c r="D22" i="2"/>
  <c r="D16" i="2"/>
  <c r="C52" i="2"/>
  <c r="C23" i="2"/>
  <c r="C49" i="2"/>
  <c r="C35" i="2"/>
  <c r="C29" i="2"/>
  <c r="C24" i="2"/>
  <c r="C31" i="2"/>
  <c r="C18" i="2"/>
  <c r="C43" i="2"/>
  <c r="C22" i="2"/>
  <c r="C50" i="2"/>
  <c r="C32" i="2"/>
  <c r="C39" i="2"/>
  <c r="C26" i="2"/>
  <c r="C51" i="2"/>
  <c r="C30" i="2"/>
  <c r="C36" i="2"/>
  <c r="C40" i="2"/>
  <c r="C47" i="2"/>
  <c r="C34" i="2"/>
  <c r="C20" i="2"/>
  <c r="C38" i="2"/>
  <c r="C25" i="2"/>
  <c r="C48" i="2"/>
  <c r="C17" i="2"/>
  <c r="C42" i="2"/>
  <c r="C28" i="2"/>
  <c r="C46" i="2"/>
  <c r="C21" i="2"/>
  <c r="C37" i="2"/>
  <c r="C33" i="2"/>
  <c r="C19" i="2"/>
  <c r="C44" i="2"/>
  <c r="C45" i="2"/>
  <c r="C41" i="2"/>
  <c r="C27" i="2"/>
  <c r="C16" i="2"/>
  <c r="C29" i="3" l="1"/>
  <c r="C33" i="3"/>
  <c r="C34" i="3"/>
  <c r="C32" i="3"/>
  <c r="C23" i="3"/>
  <c r="D34" i="3"/>
  <c r="D23" i="3"/>
  <c r="C31" i="3"/>
  <c r="C24" i="3"/>
  <c r="C22" i="3"/>
  <c r="D29" i="3"/>
  <c r="D33" i="3"/>
  <c r="D32" i="3"/>
  <c r="C26" i="3"/>
  <c r="C25" i="3"/>
  <c r="D31" i="3"/>
  <c r="D26" i="3"/>
  <c r="D24" i="3"/>
  <c r="D22" i="3"/>
  <c r="D25" i="3"/>
  <c r="C19" i="3"/>
  <c r="C18" i="3"/>
  <c r="C16" i="3"/>
  <c r="C30" i="3"/>
  <c r="C20" i="3"/>
  <c r="C28" i="3"/>
  <c r="C21" i="3"/>
  <c r="D18" i="3"/>
  <c r="D16" i="3"/>
  <c r="D30" i="3"/>
  <c r="D20" i="3"/>
  <c r="D28" i="3"/>
  <c r="C27" i="3"/>
  <c r="C17" i="3"/>
  <c r="D17" i="3"/>
  <c r="D19" i="3"/>
  <c r="D21" i="3"/>
  <c r="D27" i="3"/>
</calcChain>
</file>

<file path=xl/sharedStrings.xml><?xml version="1.0" encoding="utf-8"?>
<sst xmlns="http://schemas.openxmlformats.org/spreadsheetml/2006/main" count="61" uniqueCount="43">
  <si>
    <t>Date from</t>
  </si>
  <si>
    <t>Date till</t>
  </si>
  <si>
    <t>SBER</t>
  </si>
  <si>
    <t>YNDX</t>
  </si>
  <si>
    <t>Входные параметры макроса:</t>
  </si>
  <si>
    <t>IRAO</t>
  </si>
  <si>
    <t>GAZP</t>
  </si>
  <si>
    <t>LKOH</t>
  </si>
  <si>
    <t>GMKN</t>
  </si>
  <si>
    <t>CHMF</t>
  </si>
  <si>
    <t>ROSN</t>
  </si>
  <si>
    <t>TATN</t>
  </si>
  <si>
    <t>MGNT</t>
  </si>
  <si>
    <t>PLZL</t>
  </si>
  <si>
    <t>NLMK</t>
  </si>
  <si>
    <t>POLY</t>
  </si>
  <si>
    <t>MOEX</t>
  </si>
  <si>
    <t>MAGN</t>
  </si>
  <si>
    <t>AFKS</t>
  </si>
  <si>
    <t>NVTK</t>
  </si>
  <si>
    <t>VTBR</t>
  </si>
  <si>
    <t>SBERP</t>
  </si>
  <si>
    <t>AFLT</t>
  </si>
  <si>
    <t>SNGSP</t>
  </si>
  <si>
    <t>DSKY</t>
  </si>
  <si>
    <t>ALRS</t>
  </si>
  <si>
    <t>MTSS</t>
  </si>
  <si>
    <t>FIVE</t>
  </si>
  <si>
    <t>SNGS</t>
  </si>
  <si>
    <t>MAIL</t>
  </si>
  <si>
    <t>Тикер
Дата</t>
  </si>
  <si>
    <t>Тикер</t>
  </si>
  <si>
    <t>Дата начала</t>
  </si>
  <si>
    <t>Дата конца</t>
  </si>
  <si>
    <t>Отладочная информация</t>
  </si>
  <si>
    <t>Номер строки ячейки C5 (начало данных)</t>
  </si>
  <si>
    <t>Номер строки с датой начала</t>
  </si>
  <si>
    <t>Содержимое строки с датой начала (должно совпадать с датой начала)</t>
  </si>
  <si>
    <t>Конец отладочной информации</t>
  </si>
  <si>
    <r>
      <t xml:space="preserve">Индекс </t>
    </r>
    <r>
      <rPr>
        <b/>
        <sz val="11"/>
        <color theme="1"/>
        <rFont val="Calibri"/>
        <family val="2"/>
        <charset val="204"/>
        <scheme val="minor"/>
      </rPr>
      <t>даты конца</t>
    </r>
    <r>
      <rPr>
        <sz val="11"/>
        <color theme="1"/>
        <rFont val="Calibri"/>
        <family val="2"/>
        <charset val="204"/>
        <scheme val="minor"/>
      </rPr>
      <t xml:space="preserve"> в массиве дат</t>
    </r>
  </si>
  <si>
    <r>
      <t xml:space="preserve">Индекс </t>
    </r>
    <r>
      <rPr>
        <b/>
        <sz val="11"/>
        <color theme="1"/>
        <rFont val="Calibri"/>
        <family val="2"/>
        <charset val="204"/>
        <scheme val="minor"/>
      </rPr>
      <t>даты начала</t>
    </r>
    <r>
      <rPr>
        <sz val="11"/>
        <color theme="1"/>
        <rFont val="Calibri"/>
        <family val="2"/>
        <charset val="204"/>
        <scheme val="minor"/>
      </rPr>
      <t xml:space="preserve"> в массиве дат</t>
    </r>
  </si>
  <si>
    <t>Номер столбца ячейки C5 (начало данных)</t>
  </si>
  <si>
    <r>
      <t xml:space="preserve">Буква столбца с </t>
    </r>
    <r>
      <rPr>
        <b/>
        <sz val="11"/>
        <color theme="1"/>
        <rFont val="Calibri"/>
        <family val="2"/>
        <charset val="204"/>
        <scheme val="minor"/>
      </rPr>
      <t>тикером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</si>
</sst>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14" fontId="0" fillId="0" borderId="0" xfId="0" applyNumberFormat="1"/>
    <xf numFmtId="0" fontId="2" fillId="2" borderId="0" xfId="0" applyFont="1" applyFill="1"/>
    <xf numFmtId="14" fontId="2" fillId="2" borderId="0" xfId="0" applyNumberFormat="1" applyFont="1" applyFill="1"/>
    <xf numFmtId="0" fontId="3" fillId="2" borderId="0" xfId="0" applyFont="1" applyFill="1"/>
    <xf numFmtId="0" fontId="1" fillId="2" borderId="0" xfId="0" applyFont="1" applyFill="1" applyAlignment="1"/>
    <xf numFmtId="0" fontId="0" fillId="0" borderId="0" xfId="0" applyAlignment="1"/>
    <xf numFmtId="0" fontId="1" fillId="3" borderId="0" xfId="0" applyFont="1" applyFill="1" applyAlignment="1">
      <alignment wrapText="1"/>
    </xf>
    <xf numFmtId="0" fontId="1" fillId="3" borderId="0" xfId="0" applyFont="1" applyFill="1" applyAlignment="1">
      <alignment horizontal="center" vertical="top"/>
    </xf>
    <xf numFmtId="0" fontId="1" fillId="3" borderId="0" xfId="0" applyFont="1" applyFill="1" applyAlignment="1">
      <alignment vertical="top"/>
    </xf>
    <xf numFmtId="14" fontId="1" fillId="3" borderId="0" xfId="0" applyNumberFormat="1" applyFont="1" applyFill="1" applyAlignment="1">
      <alignment horizontal="center" vertical="top"/>
    </xf>
    <xf numFmtId="0" fontId="0" fillId="0" borderId="0" xfId="0" applyNumberFormat="1"/>
    <xf numFmtId="0" fontId="0" fillId="4" borderId="0" xfId="0" applyFill="1"/>
    <xf numFmtId="14" fontId="0" fillId="4" borderId="0" xfId="0" applyNumberFormat="1" applyFill="1"/>
    <xf numFmtId="0" fontId="0" fillId="4" borderId="0" xfId="0" applyNumberFormat="1" applyFill="1"/>
    <xf numFmtId="0" fontId="1" fillId="3" borderId="0" xfId="0" applyFont="1" applyFill="1" applyAlignment="1">
      <alignment wrapText="1"/>
    </xf>
    <xf numFmtId="0" fontId="0" fillId="0" borderId="0" xfId="0" applyAlignment="1">
      <alignment wrapText="1"/>
    </xf>
    <xf numFmtId="0" fontId="0" fillId="4" borderId="0" xfId="0" applyFill="1" applyAlignment="1"/>
    <xf numFmtId="0" fontId="5" fillId="4" borderId="0" xfId="0" applyFont="1" applyFill="1" applyAlignment="1"/>
    <xf numFmtId="0" fontId="5" fillId="0" borderId="0" xfId="0" applyFont="1" applyAlignment="1"/>
    <xf numFmtId="0" fontId="0" fillId="4" borderId="0" xfId="0" applyNumberFormat="1" applyFont="1" applyFill="1"/>
    <xf numFmtId="2" fontId="0" fillId="0" borderId="0" xfId="0" applyNumberFormat="1"/>
  </cellXfs>
  <cellStyles count="1">
    <cellStyle name="Обычный" xfId="0" builtinId="0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66675</xdr:rowOff>
        </xdr:from>
        <xdr:to>
          <xdr:col>5</xdr:col>
          <xdr:colOff>476250</xdr:colOff>
          <xdr:row>1</xdr:row>
          <xdr:rowOff>114300</xdr:rowOff>
        </xdr:to>
        <xdr:sp macro="" textlink="">
          <xdr:nvSpPr>
            <xdr:cNvPr id="1025" name="btnGetPric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Получить котировки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514350</xdr:colOff>
          <xdr:row>0</xdr:row>
          <xdr:rowOff>85725</xdr:rowOff>
        </xdr:from>
        <xdr:to>
          <xdr:col>14</xdr:col>
          <xdr:colOff>333375</xdr:colOff>
          <xdr:row>1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котировки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D41"/>
  <sheetViews>
    <sheetView tabSelected="1" workbookViewId="0">
      <selection activeCell="H25" sqref="H25"/>
    </sheetView>
  </sheetViews>
  <sheetFormatPr defaultRowHeight="15" x14ac:dyDescent="0.25"/>
  <cols>
    <col min="1" max="1" width="10.42578125" customWidth="1"/>
    <col min="2" max="2" width="15.42578125" customWidth="1"/>
    <col min="3" max="3" width="12" customWidth="1"/>
    <col min="5" max="5" width="9.5703125" bestFit="1" customWidth="1"/>
  </cols>
  <sheetData>
    <row r="1" spans="1:30" x14ac:dyDescent="0.25">
      <c r="A1" s="5" t="s">
        <v>4</v>
      </c>
      <c r="B1" s="6"/>
    </row>
    <row r="2" spans="1:30" x14ac:dyDescent="0.25">
      <c r="A2" s="4" t="s">
        <v>0</v>
      </c>
      <c r="B2" s="3">
        <v>44136</v>
      </c>
      <c r="C2" s="1"/>
    </row>
    <row r="3" spans="1:30" x14ac:dyDescent="0.25">
      <c r="A3" s="4" t="s">
        <v>1</v>
      </c>
      <c r="B3" s="3">
        <f ca="1">TODAY()</f>
        <v>44188</v>
      </c>
      <c r="C3" s="1"/>
    </row>
    <row r="4" spans="1:30" s="9" customFormat="1" ht="30" x14ac:dyDescent="0.25">
      <c r="A4" s="4"/>
      <c r="B4" s="2"/>
      <c r="C4" s="7" t="s">
        <v>30</v>
      </c>
      <c r="D4" s="8" t="s">
        <v>2</v>
      </c>
      <c r="E4" s="9" t="s">
        <v>6</v>
      </c>
      <c r="F4" s="9" t="s">
        <v>7</v>
      </c>
      <c r="G4" s="9" t="s">
        <v>8</v>
      </c>
      <c r="H4" s="9" t="s">
        <v>9</v>
      </c>
      <c r="I4" s="9" t="s">
        <v>10</v>
      </c>
      <c r="J4" s="9" t="s">
        <v>11</v>
      </c>
      <c r="K4" s="9" t="s">
        <v>12</v>
      </c>
      <c r="L4" s="9" t="s">
        <v>13</v>
      </c>
      <c r="M4" s="9" t="s">
        <v>3</v>
      </c>
      <c r="N4" s="9" t="s">
        <v>14</v>
      </c>
      <c r="O4" s="9" t="s">
        <v>15</v>
      </c>
      <c r="P4" s="9" t="s">
        <v>16</v>
      </c>
      <c r="Q4" s="9" t="s">
        <v>17</v>
      </c>
      <c r="R4" s="9" t="s">
        <v>18</v>
      </c>
      <c r="S4" s="9" t="s">
        <v>19</v>
      </c>
      <c r="T4" s="9" t="s">
        <v>20</v>
      </c>
      <c r="U4" s="9" t="s">
        <v>21</v>
      </c>
      <c r="V4" s="9" t="s">
        <v>5</v>
      </c>
      <c r="W4" s="9" t="s">
        <v>22</v>
      </c>
      <c r="X4" s="9" t="s">
        <v>23</v>
      </c>
      <c r="Y4" s="9" t="s">
        <v>24</v>
      </c>
      <c r="Z4" s="9" t="s">
        <v>25</v>
      </c>
      <c r="AA4" s="9" t="s">
        <v>26</v>
      </c>
      <c r="AB4" s="9" t="s">
        <v>27</v>
      </c>
      <c r="AC4" s="9" t="s">
        <v>28</v>
      </c>
      <c r="AD4" s="9" t="s">
        <v>29</v>
      </c>
    </row>
    <row r="5" spans="1:30" x14ac:dyDescent="0.25">
      <c r="C5" s="1">
        <v>44137</v>
      </c>
      <c r="D5">
        <v>203.58</v>
      </c>
      <c r="E5">
        <v>156.59</v>
      </c>
      <c r="F5">
        <v>4116.5</v>
      </c>
      <c r="G5">
        <v>19266</v>
      </c>
      <c r="H5">
        <v>1093.5999999999999</v>
      </c>
      <c r="I5">
        <v>357.2</v>
      </c>
      <c r="J5">
        <v>415.3</v>
      </c>
      <c r="K5">
        <v>4816</v>
      </c>
      <c r="L5">
        <v>16163.5</v>
      </c>
      <c r="M5">
        <v>4625.3999999999996</v>
      </c>
      <c r="N5">
        <v>188.16</v>
      </c>
      <c r="O5">
        <v>1748</v>
      </c>
      <c r="P5">
        <v>132.32</v>
      </c>
      <c r="Q5">
        <v>37.700000000000003</v>
      </c>
      <c r="R5">
        <v>25.4</v>
      </c>
      <c r="S5">
        <v>1010</v>
      </c>
      <c r="T5">
        <v>3.2640000000000002E-2</v>
      </c>
      <c r="U5">
        <v>195.31</v>
      </c>
      <c r="V5">
        <v>5.1029999999999998</v>
      </c>
      <c r="W5">
        <v>56.38</v>
      </c>
      <c r="X5">
        <v>37.07</v>
      </c>
      <c r="Y5">
        <v>112</v>
      </c>
      <c r="Z5">
        <v>70.680000000000007</v>
      </c>
      <c r="AA5">
        <v>316.35000000000002</v>
      </c>
      <c r="AB5">
        <v>2835</v>
      </c>
      <c r="AC5">
        <v>33.575000000000003</v>
      </c>
      <c r="AD5">
        <v>2130</v>
      </c>
    </row>
    <row r="6" spans="1:30" x14ac:dyDescent="0.25">
      <c r="C6" s="1">
        <v>44138</v>
      </c>
      <c r="D6">
        <v>209.96</v>
      </c>
      <c r="E6">
        <v>160.59</v>
      </c>
      <c r="F6">
        <v>4234.5</v>
      </c>
      <c r="G6">
        <v>19460</v>
      </c>
      <c r="H6">
        <v>1108</v>
      </c>
      <c r="I6">
        <v>375.4</v>
      </c>
      <c r="J6">
        <v>429.2</v>
      </c>
      <c r="K6">
        <v>4759</v>
      </c>
      <c r="L6">
        <v>16590</v>
      </c>
      <c r="M6">
        <v>4596.6000000000004</v>
      </c>
      <c r="N6">
        <v>189.9</v>
      </c>
      <c r="O6">
        <v>1802.6</v>
      </c>
      <c r="P6">
        <v>132.6</v>
      </c>
      <c r="Q6">
        <v>38.805</v>
      </c>
      <c r="R6">
        <v>25.835000000000001</v>
      </c>
      <c r="S6">
        <v>1027</v>
      </c>
      <c r="T6">
        <v>3.2800000000000003E-2</v>
      </c>
      <c r="U6">
        <v>200.85</v>
      </c>
      <c r="V6">
        <v>5.1565000000000003</v>
      </c>
      <c r="W6">
        <v>58.44</v>
      </c>
      <c r="X6">
        <v>37.76</v>
      </c>
      <c r="Y6">
        <v>112.7</v>
      </c>
      <c r="Z6">
        <v>71.8</v>
      </c>
      <c r="AA6">
        <v>318.10000000000002</v>
      </c>
      <c r="AB6">
        <v>2810</v>
      </c>
      <c r="AC6">
        <v>34.299999999999997</v>
      </c>
      <c r="AD6">
        <v>2109.4</v>
      </c>
    </row>
    <row r="7" spans="1:30" x14ac:dyDescent="0.25">
      <c r="C7" s="1">
        <v>44140</v>
      </c>
      <c r="D7">
        <v>217.58</v>
      </c>
      <c r="E7">
        <v>164.59</v>
      </c>
      <c r="F7">
        <v>4343.5</v>
      </c>
      <c r="G7">
        <v>19752</v>
      </c>
      <c r="H7">
        <v>1074</v>
      </c>
      <c r="I7">
        <v>384.35</v>
      </c>
      <c r="J7">
        <v>447</v>
      </c>
      <c r="K7">
        <v>4729</v>
      </c>
      <c r="L7">
        <v>17118</v>
      </c>
      <c r="M7">
        <v>4826.3999999999996</v>
      </c>
      <c r="N7">
        <v>185.86</v>
      </c>
      <c r="O7">
        <v>1868</v>
      </c>
      <c r="P7">
        <v>137.22999999999999</v>
      </c>
      <c r="Q7">
        <v>38.78</v>
      </c>
      <c r="R7">
        <v>26.31</v>
      </c>
      <c r="S7">
        <v>1062.5999999999999</v>
      </c>
      <c r="T7">
        <v>3.3660000000000002E-2</v>
      </c>
      <c r="U7">
        <v>205.95</v>
      </c>
      <c r="V7">
        <v>5.2050000000000001</v>
      </c>
      <c r="W7">
        <v>59.62</v>
      </c>
      <c r="X7">
        <v>38.19</v>
      </c>
      <c r="Y7">
        <v>116.16</v>
      </c>
      <c r="Z7">
        <v>75.14</v>
      </c>
      <c r="AA7">
        <v>322.85000000000002</v>
      </c>
      <c r="AB7">
        <v>2817</v>
      </c>
      <c r="AC7">
        <v>35.71</v>
      </c>
      <c r="AD7">
        <v>2196.4</v>
      </c>
    </row>
    <row r="8" spans="1:30" x14ac:dyDescent="0.25">
      <c r="C8" s="1">
        <v>44141</v>
      </c>
      <c r="D8">
        <v>217.55</v>
      </c>
      <c r="E8">
        <v>165.27</v>
      </c>
      <c r="F8">
        <v>4414</v>
      </c>
      <c r="G8">
        <v>20174</v>
      </c>
      <c r="H8">
        <v>1092.2</v>
      </c>
      <c r="I8">
        <v>382.8</v>
      </c>
      <c r="J8">
        <v>449.3</v>
      </c>
      <c r="K8">
        <v>4821</v>
      </c>
      <c r="L8">
        <v>17737.5</v>
      </c>
      <c r="M8">
        <v>4904.8</v>
      </c>
      <c r="N8">
        <v>188.12</v>
      </c>
      <c r="O8">
        <v>1926.7</v>
      </c>
      <c r="P8">
        <v>137.76</v>
      </c>
      <c r="Q8">
        <v>39.1</v>
      </c>
      <c r="R8">
        <v>26.638999999999999</v>
      </c>
      <c r="S8">
        <v>1089.5999999999999</v>
      </c>
      <c r="T8">
        <v>3.3689999999999998E-2</v>
      </c>
      <c r="U8">
        <v>204.63</v>
      </c>
      <c r="V8">
        <v>5.2</v>
      </c>
      <c r="W8">
        <v>59.5</v>
      </c>
      <c r="X8">
        <v>38.715000000000003</v>
      </c>
      <c r="Y8">
        <v>118.72</v>
      </c>
      <c r="Z8">
        <v>77</v>
      </c>
      <c r="AA8">
        <v>322.89999999999998</v>
      </c>
      <c r="AB8">
        <v>2866.5</v>
      </c>
      <c r="AC8">
        <v>35.475000000000001</v>
      </c>
      <c r="AD8">
        <v>2248.6</v>
      </c>
    </row>
    <row r="9" spans="1:30" x14ac:dyDescent="0.25">
      <c r="C9" s="1">
        <v>44144</v>
      </c>
      <c r="D9">
        <v>229.89</v>
      </c>
      <c r="E9">
        <v>171.5</v>
      </c>
      <c r="F9">
        <v>4815</v>
      </c>
      <c r="G9">
        <v>20762</v>
      </c>
      <c r="H9">
        <v>1097.8</v>
      </c>
      <c r="I9">
        <v>403.55</v>
      </c>
      <c r="J9">
        <v>487</v>
      </c>
      <c r="K9">
        <v>4912</v>
      </c>
      <c r="L9">
        <v>16152</v>
      </c>
      <c r="M9">
        <v>4989.6000000000004</v>
      </c>
      <c r="N9">
        <v>193</v>
      </c>
      <c r="O9">
        <v>1710</v>
      </c>
      <c r="P9">
        <v>140.46</v>
      </c>
      <c r="Q9">
        <v>39.314999999999998</v>
      </c>
      <c r="R9">
        <v>27.5</v>
      </c>
      <c r="S9">
        <v>1181.8</v>
      </c>
      <c r="T9">
        <v>3.4450000000000001E-2</v>
      </c>
      <c r="U9">
        <v>215.11</v>
      </c>
      <c r="V9">
        <v>5.25</v>
      </c>
      <c r="W9">
        <v>64.7</v>
      </c>
      <c r="X9">
        <v>38.520000000000003</v>
      </c>
      <c r="Y9">
        <v>116.4</v>
      </c>
      <c r="Z9">
        <v>81.47</v>
      </c>
      <c r="AA9">
        <v>327.14999999999998</v>
      </c>
      <c r="AB9">
        <v>2850.5</v>
      </c>
      <c r="AC9">
        <v>37.005000000000003</v>
      </c>
      <c r="AD9">
        <v>2267.1999999999998</v>
      </c>
    </row>
    <row r="10" spans="1:30" x14ac:dyDescent="0.25">
      <c r="C10" s="1">
        <v>44145</v>
      </c>
      <c r="D10">
        <v>237.4</v>
      </c>
      <c r="E10">
        <v>172.76</v>
      </c>
      <c r="F10">
        <v>4914</v>
      </c>
      <c r="G10">
        <v>20620</v>
      </c>
      <c r="H10">
        <v>1086.5999999999999</v>
      </c>
      <c r="I10">
        <v>413.45</v>
      </c>
      <c r="J10">
        <v>502</v>
      </c>
      <c r="K10">
        <v>4934</v>
      </c>
      <c r="L10">
        <v>16389.5</v>
      </c>
      <c r="M10">
        <v>4760</v>
      </c>
      <c r="N10">
        <v>191.52</v>
      </c>
      <c r="O10">
        <v>1691</v>
      </c>
      <c r="P10">
        <v>137.38</v>
      </c>
      <c r="Q10">
        <v>39</v>
      </c>
      <c r="R10">
        <v>28.045000000000002</v>
      </c>
      <c r="S10">
        <v>1181.4000000000001</v>
      </c>
      <c r="T10">
        <v>3.474E-2</v>
      </c>
      <c r="U10">
        <v>219.5</v>
      </c>
      <c r="V10">
        <v>5.2794999999999996</v>
      </c>
      <c r="W10">
        <v>65</v>
      </c>
      <c r="X10">
        <v>38.86</v>
      </c>
      <c r="Y10">
        <v>116.92</v>
      </c>
      <c r="Z10">
        <v>78.900000000000006</v>
      </c>
      <c r="AA10">
        <v>322.2</v>
      </c>
      <c r="AB10">
        <v>2784</v>
      </c>
      <c r="AC10">
        <v>36.869999999999997</v>
      </c>
      <c r="AD10">
        <v>2236.8000000000002</v>
      </c>
    </row>
    <row r="11" spans="1:30" x14ac:dyDescent="0.25">
      <c r="C11" s="1">
        <v>44146</v>
      </c>
      <c r="D11">
        <v>243.6</v>
      </c>
      <c r="E11">
        <v>171.86</v>
      </c>
      <c r="F11">
        <v>4985.5</v>
      </c>
      <c r="G11">
        <v>20676</v>
      </c>
      <c r="H11">
        <v>1094.5999999999999</v>
      </c>
      <c r="I11">
        <v>425.1</v>
      </c>
      <c r="J11">
        <v>517</v>
      </c>
      <c r="K11">
        <v>4777.5</v>
      </c>
      <c r="L11">
        <v>15680.5</v>
      </c>
      <c r="M11">
        <v>4711.3999999999996</v>
      </c>
      <c r="N11">
        <v>194.66</v>
      </c>
      <c r="O11">
        <v>1675.4</v>
      </c>
      <c r="P11">
        <v>134.54</v>
      </c>
      <c r="Q11">
        <v>41.36</v>
      </c>
      <c r="R11">
        <v>29.3</v>
      </c>
      <c r="S11">
        <v>1200.4000000000001</v>
      </c>
      <c r="T11">
        <v>3.4485000000000002E-2</v>
      </c>
      <c r="U11">
        <v>222</v>
      </c>
      <c r="V11">
        <v>5.2949999999999999</v>
      </c>
      <c r="W11">
        <v>67.3</v>
      </c>
      <c r="X11">
        <v>38.5</v>
      </c>
      <c r="Y11">
        <v>115.5</v>
      </c>
      <c r="Z11">
        <v>79.91</v>
      </c>
      <c r="AA11">
        <v>321.5</v>
      </c>
      <c r="AB11">
        <v>2714</v>
      </c>
      <c r="AC11">
        <v>36.564999999999998</v>
      </c>
      <c r="AD11">
        <v>2235.4</v>
      </c>
    </row>
    <row r="12" spans="1:30" x14ac:dyDescent="0.25">
      <c r="C12" s="1">
        <v>44147</v>
      </c>
      <c r="D12">
        <v>245.07</v>
      </c>
      <c r="E12">
        <v>174.3</v>
      </c>
      <c r="F12">
        <v>4900</v>
      </c>
      <c r="G12">
        <v>20578</v>
      </c>
      <c r="H12">
        <v>1097.8</v>
      </c>
      <c r="I12">
        <v>417.1</v>
      </c>
      <c r="J12">
        <v>512.6</v>
      </c>
      <c r="K12">
        <v>4937.5</v>
      </c>
      <c r="L12">
        <v>15965</v>
      </c>
      <c r="M12">
        <v>4775</v>
      </c>
      <c r="N12">
        <v>194.2</v>
      </c>
      <c r="O12">
        <v>1714.5</v>
      </c>
      <c r="P12">
        <v>134.31</v>
      </c>
      <c r="Q12">
        <v>41.284999999999997</v>
      </c>
      <c r="R12">
        <v>30.041</v>
      </c>
      <c r="S12">
        <v>1208.2</v>
      </c>
      <c r="T12">
        <v>3.635E-2</v>
      </c>
      <c r="U12">
        <v>223.86</v>
      </c>
      <c r="V12">
        <v>5.2244999999999999</v>
      </c>
      <c r="W12">
        <v>66.3</v>
      </c>
      <c r="X12">
        <v>38.865000000000002</v>
      </c>
      <c r="Y12">
        <v>115.88</v>
      </c>
      <c r="Z12">
        <v>79.67</v>
      </c>
      <c r="AA12">
        <v>320.64999999999998</v>
      </c>
      <c r="AB12">
        <v>2807</v>
      </c>
      <c r="AC12">
        <v>35.880000000000003</v>
      </c>
      <c r="AD12">
        <v>2225.1999999999998</v>
      </c>
    </row>
    <row r="13" spans="1:30" x14ac:dyDescent="0.25">
      <c r="C13" s="1">
        <v>44148</v>
      </c>
      <c r="D13">
        <v>239.79</v>
      </c>
      <c r="E13">
        <v>179.5</v>
      </c>
      <c r="F13">
        <v>4827.5</v>
      </c>
      <c r="G13">
        <v>20412</v>
      </c>
      <c r="H13">
        <v>1103.4000000000001</v>
      </c>
      <c r="I13">
        <v>415.5</v>
      </c>
      <c r="J13">
        <v>500.5</v>
      </c>
      <c r="K13">
        <v>4906</v>
      </c>
      <c r="L13">
        <v>16400</v>
      </c>
      <c r="M13">
        <v>4780</v>
      </c>
      <c r="N13">
        <v>196.16</v>
      </c>
      <c r="O13">
        <v>1736</v>
      </c>
      <c r="P13">
        <v>133.88999999999999</v>
      </c>
      <c r="Q13">
        <v>41.42</v>
      </c>
      <c r="R13">
        <v>31.8</v>
      </c>
      <c r="S13">
        <v>1227</v>
      </c>
      <c r="T13">
        <v>3.6725000000000001E-2</v>
      </c>
      <c r="U13">
        <v>219.46</v>
      </c>
      <c r="V13">
        <v>5.2175000000000002</v>
      </c>
      <c r="W13">
        <v>66.86</v>
      </c>
      <c r="X13">
        <v>39.204999999999998</v>
      </c>
      <c r="Y13">
        <v>117.9</v>
      </c>
      <c r="Z13">
        <v>80.790000000000006</v>
      </c>
      <c r="AA13">
        <v>317.89999999999998</v>
      </c>
      <c r="AB13">
        <v>2755.5</v>
      </c>
      <c r="AC13">
        <v>35.619999999999997</v>
      </c>
      <c r="AD13">
        <v>2220</v>
      </c>
    </row>
    <row r="14" spans="1:30" x14ac:dyDescent="0.25">
      <c r="C14" s="1">
        <v>44151</v>
      </c>
      <c r="D14">
        <v>248</v>
      </c>
      <c r="E14">
        <v>185.3</v>
      </c>
      <c r="F14">
        <v>4926</v>
      </c>
      <c r="G14">
        <v>20694</v>
      </c>
      <c r="H14">
        <v>1131.2</v>
      </c>
      <c r="I14">
        <v>429.55</v>
      </c>
      <c r="J14">
        <v>512.70000000000005</v>
      </c>
      <c r="K14">
        <v>4972</v>
      </c>
      <c r="L14">
        <v>15960</v>
      </c>
      <c r="M14">
        <v>4745</v>
      </c>
      <c r="N14">
        <v>201.7</v>
      </c>
      <c r="O14">
        <v>1726.2</v>
      </c>
      <c r="P14">
        <v>135.74</v>
      </c>
      <c r="Q14">
        <v>42.94</v>
      </c>
      <c r="R14">
        <v>31.783999999999999</v>
      </c>
      <c r="S14">
        <v>1254.2</v>
      </c>
      <c r="T14">
        <v>3.73E-2</v>
      </c>
      <c r="U14">
        <v>224.43</v>
      </c>
      <c r="V14">
        <v>5.21</v>
      </c>
      <c r="W14">
        <v>68.900000000000006</v>
      </c>
      <c r="X14">
        <v>39.15</v>
      </c>
      <c r="Y14">
        <v>120</v>
      </c>
      <c r="Z14">
        <v>86.11</v>
      </c>
      <c r="AA14">
        <v>321.3</v>
      </c>
      <c r="AB14">
        <v>2786.5</v>
      </c>
      <c r="AC14">
        <v>37.594999999999999</v>
      </c>
      <c r="AD14">
        <v>2195.6</v>
      </c>
    </row>
    <row r="15" spans="1:30" x14ac:dyDescent="0.25">
      <c r="C15" s="1">
        <v>44152</v>
      </c>
      <c r="D15">
        <v>246.58</v>
      </c>
      <c r="E15">
        <v>182.9</v>
      </c>
      <c r="F15">
        <v>4850</v>
      </c>
      <c r="G15">
        <v>20546</v>
      </c>
      <c r="H15">
        <v>1113.4000000000001</v>
      </c>
      <c r="I15">
        <v>439.65</v>
      </c>
      <c r="J15">
        <v>508</v>
      </c>
      <c r="K15">
        <v>4865</v>
      </c>
      <c r="L15">
        <v>15798</v>
      </c>
      <c r="M15">
        <v>4682.3999999999996</v>
      </c>
      <c r="N15">
        <v>195.12</v>
      </c>
      <c r="O15">
        <v>1703</v>
      </c>
      <c r="P15">
        <v>136.28</v>
      </c>
      <c r="Q15">
        <v>42.494999999999997</v>
      </c>
      <c r="R15">
        <v>31.869</v>
      </c>
      <c r="S15">
        <v>1251.8</v>
      </c>
      <c r="T15">
        <v>3.6295000000000001E-2</v>
      </c>
      <c r="U15">
        <v>224.16</v>
      </c>
      <c r="V15">
        <v>5.125</v>
      </c>
      <c r="W15">
        <v>67.3</v>
      </c>
      <c r="X15">
        <v>38.924999999999997</v>
      </c>
      <c r="Y15">
        <v>119.8</v>
      </c>
      <c r="Z15">
        <v>86.48</v>
      </c>
      <c r="AA15">
        <v>322.60000000000002</v>
      </c>
      <c r="AB15">
        <v>2718</v>
      </c>
      <c r="AC15">
        <v>36.935000000000002</v>
      </c>
      <c r="AD15">
        <v>2175</v>
      </c>
    </row>
    <row r="16" spans="1:30" x14ac:dyDescent="0.25">
      <c r="C16" s="1">
        <v>44153</v>
      </c>
      <c r="D16">
        <v>244.18</v>
      </c>
      <c r="E16">
        <v>185.81</v>
      </c>
      <c r="F16">
        <v>4958.5</v>
      </c>
      <c r="G16">
        <v>20766</v>
      </c>
      <c r="H16">
        <v>1123</v>
      </c>
      <c r="I16">
        <v>455.5</v>
      </c>
      <c r="J16">
        <v>516.5</v>
      </c>
      <c r="K16">
        <v>4955.5</v>
      </c>
      <c r="L16">
        <v>15776</v>
      </c>
      <c r="M16">
        <v>4702.3999999999996</v>
      </c>
      <c r="N16">
        <v>192.7</v>
      </c>
      <c r="O16">
        <v>1719.6</v>
      </c>
      <c r="P16">
        <v>138.53</v>
      </c>
      <c r="Q16">
        <v>41.854999999999997</v>
      </c>
      <c r="R16">
        <v>32.14</v>
      </c>
      <c r="S16">
        <v>1271.8</v>
      </c>
      <c r="T16">
        <v>3.6315E-2</v>
      </c>
      <c r="U16">
        <v>223.11</v>
      </c>
      <c r="V16">
        <v>5.1980000000000004</v>
      </c>
      <c r="W16">
        <v>69.36</v>
      </c>
      <c r="X16">
        <v>38.57</v>
      </c>
      <c r="Y16">
        <v>124.98</v>
      </c>
      <c r="Z16">
        <v>89.93</v>
      </c>
      <c r="AA16">
        <v>322</v>
      </c>
      <c r="AB16">
        <v>2746.5</v>
      </c>
      <c r="AC16">
        <v>37.1</v>
      </c>
      <c r="AD16">
        <v>2163.6</v>
      </c>
    </row>
    <row r="17" spans="3:30" x14ac:dyDescent="0.25">
      <c r="C17" s="1">
        <v>44154</v>
      </c>
      <c r="D17">
        <v>238.8</v>
      </c>
      <c r="E17">
        <v>183.83</v>
      </c>
      <c r="F17">
        <v>4904</v>
      </c>
      <c r="G17">
        <v>20648</v>
      </c>
      <c r="H17">
        <v>1097.2</v>
      </c>
      <c r="I17">
        <v>447.8</v>
      </c>
      <c r="J17">
        <v>506.8</v>
      </c>
      <c r="K17">
        <v>4989</v>
      </c>
      <c r="L17">
        <v>15442</v>
      </c>
      <c r="M17">
        <v>4705.8</v>
      </c>
      <c r="N17">
        <v>191.02</v>
      </c>
      <c r="O17">
        <v>1688.8</v>
      </c>
      <c r="P17">
        <v>139.01</v>
      </c>
      <c r="Q17">
        <v>41.81</v>
      </c>
      <c r="R17">
        <v>32.299999999999997</v>
      </c>
      <c r="S17">
        <v>1251.2</v>
      </c>
      <c r="T17">
        <v>3.6020000000000003E-2</v>
      </c>
      <c r="U17">
        <v>220.6</v>
      </c>
      <c r="V17">
        <v>5.1820000000000004</v>
      </c>
      <c r="W17">
        <v>68.2</v>
      </c>
      <c r="X17">
        <v>38.784999999999997</v>
      </c>
      <c r="Y17">
        <v>123.5</v>
      </c>
      <c r="Z17">
        <v>90</v>
      </c>
      <c r="AA17">
        <v>319.3</v>
      </c>
      <c r="AB17">
        <v>2700</v>
      </c>
      <c r="AC17">
        <v>36.65</v>
      </c>
      <c r="AD17">
        <v>2145</v>
      </c>
    </row>
    <row r="18" spans="3:30" x14ac:dyDescent="0.25">
      <c r="C18" s="1">
        <v>44155</v>
      </c>
      <c r="D18">
        <v>238</v>
      </c>
      <c r="E18">
        <v>182.74</v>
      </c>
      <c r="F18">
        <v>4920.5</v>
      </c>
      <c r="G18">
        <v>20750</v>
      </c>
      <c r="H18">
        <v>1102</v>
      </c>
      <c r="I18">
        <v>462.15</v>
      </c>
      <c r="J18">
        <v>509.1</v>
      </c>
      <c r="K18">
        <v>4900</v>
      </c>
      <c r="L18">
        <v>15436</v>
      </c>
      <c r="M18">
        <v>4781</v>
      </c>
      <c r="N18">
        <v>190.7</v>
      </c>
      <c r="O18">
        <v>1699</v>
      </c>
      <c r="P18">
        <v>139.26</v>
      </c>
      <c r="Q18">
        <v>41.64</v>
      </c>
      <c r="R18">
        <v>32.753</v>
      </c>
      <c r="S18">
        <v>1259.5999999999999</v>
      </c>
      <c r="T18">
        <v>3.6400000000000002E-2</v>
      </c>
      <c r="U18">
        <v>221</v>
      </c>
      <c r="V18">
        <v>5.1779999999999999</v>
      </c>
      <c r="W18">
        <v>68.900000000000006</v>
      </c>
      <c r="X18">
        <v>38.715000000000003</v>
      </c>
      <c r="Y18">
        <v>126.5</v>
      </c>
      <c r="Z18">
        <v>88.27</v>
      </c>
      <c r="AA18">
        <v>316.7</v>
      </c>
      <c r="AB18">
        <v>2670.5</v>
      </c>
      <c r="AC18">
        <v>36.295000000000002</v>
      </c>
      <c r="AD18">
        <v>2146</v>
      </c>
    </row>
    <row r="19" spans="3:30" x14ac:dyDescent="0.25">
      <c r="C19" s="1">
        <v>44158</v>
      </c>
      <c r="D19">
        <v>238.84</v>
      </c>
      <c r="E19">
        <v>183.27</v>
      </c>
      <c r="F19">
        <v>4975</v>
      </c>
      <c r="G19">
        <v>20932</v>
      </c>
      <c r="H19">
        <v>1112</v>
      </c>
      <c r="I19">
        <v>469.5</v>
      </c>
      <c r="J19">
        <v>516.20000000000005</v>
      </c>
      <c r="K19">
        <v>4934.5</v>
      </c>
      <c r="L19">
        <v>14592</v>
      </c>
      <c r="M19">
        <v>4708.3999999999996</v>
      </c>
      <c r="N19">
        <v>190.06</v>
      </c>
      <c r="O19">
        <v>1629.5</v>
      </c>
      <c r="P19">
        <v>138.07</v>
      </c>
      <c r="Q19">
        <v>41.465000000000003</v>
      </c>
      <c r="R19">
        <v>32.53</v>
      </c>
      <c r="S19">
        <v>1248</v>
      </c>
      <c r="T19">
        <v>3.6479999999999999E-2</v>
      </c>
      <c r="U19">
        <v>221.44</v>
      </c>
      <c r="V19">
        <v>5.1890000000000001</v>
      </c>
      <c r="W19">
        <v>69.22</v>
      </c>
      <c r="X19">
        <v>39.020000000000003</v>
      </c>
      <c r="Y19">
        <v>128</v>
      </c>
      <c r="Z19">
        <v>86.5</v>
      </c>
      <c r="AA19">
        <v>318.3</v>
      </c>
      <c r="AB19">
        <v>2611.5</v>
      </c>
      <c r="AC19">
        <v>36.78</v>
      </c>
      <c r="AD19">
        <v>2168.6</v>
      </c>
    </row>
    <row r="20" spans="3:30" x14ac:dyDescent="0.25">
      <c r="C20" s="1">
        <v>44159</v>
      </c>
      <c r="D20">
        <v>245.72</v>
      </c>
      <c r="E20">
        <v>186</v>
      </c>
      <c r="F20">
        <v>5117</v>
      </c>
      <c r="G20">
        <v>21460</v>
      </c>
      <c r="H20">
        <v>1139.8</v>
      </c>
      <c r="I20">
        <v>471.15</v>
      </c>
      <c r="J20">
        <v>521.1</v>
      </c>
      <c r="K20">
        <v>4889.5</v>
      </c>
      <c r="L20">
        <v>14492.5</v>
      </c>
      <c r="M20">
        <v>4930.8</v>
      </c>
      <c r="N20">
        <v>192.46</v>
      </c>
      <c r="O20">
        <v>1591.4</v>
      </c>
      <c r="P20">
        <v>140.99</v>
      </c>
      <c r="Q20">
        <v>42.05</v>
      </c>
      <c r="R20">
        <v>33.017000000000003</v>
      </c>
      <c r="S20">
        <v>1265.5999999999999</v>
      </c>
      <c r="T20">
        <v>3.6639999999999999E-2</v>
      </c>
      <c r="U20">
        <v>224.89</v>
      </c>
      <c r="V20">
        <v>5.1745000000000001</v>
      </c>
      <c r="W20">
        <v>71.900000000000006</v>
      </c>
      <c r="X20">
        <v>39.06</v>
      </c>
      <c r="Y20">
        <v>126.5</v>
      </c>
      <c r="Z20">
        <v>84.86</v>
      </c>
      <c r="AA20">
        <v>317.64999999999998</v>
      </c>
      <c r="AB20">
        <v>2611.5</v>
      </c>
      <c r="AC20">
        <v>36.875</v>
      </c>
      <c r="AD20">
        <v>2178.6</v>
      </c>
    </row>
    <row r="21" spans="3:30" x14ac:dyDescent="0.25">
      <c r="C21" s="1">
        <v>44160</v>
      </c>
      <c r="D21">
        <v>251.35</v>
      </c>
      <c r="E21">
        <v>187.52</v>
      </c>
      <c r="F21">
        <v>5379.5</v>
      </c>
      <c r="G21">
        <v>21462</v>
      </c>
      <c r="H21">
        <v>1123</v>
      </c>
      <c r="I21">
        <v>473.6</v>
      </c>
      <c r="J21">
        <v>533</v>
      </c>
      <c r="K21">
        <v>4880.5</v>
      </c>
      <c r="L21">
        <v>14550.5</v>
      </c>
      <c r="M21">
        <v>4920</v>
      </c>
      <c r="N21">
        <v>194.38</v>
      </c>
      <c r="O21">
        <v>1592</v>
      </c>
      <c r="P21">
        <v>143</v>
      </c>
      <c r="Q21">
        <v>42.62</v>
      </c>
      <c r="R21">
        <v>31.349</v>
      </c>
      <c r="S21">
        <v>1268</v>
      </c>
      <c r="T21">
        <v>3.6760000000000001E-2</v>
      </c>
      <c r="U21">
        <v>229.1</v>
      </c>
      <c r="V21">
        <v>5.1440000000000001</v>
      </c>
      <c r="W21">
        <v>71.48</v>
      </c>
      <c r="X21">
        <v>39.700000000000003</v>
      </c>
      <c r="Y21">
        <v>124.68</v>
      </c>
      <c r="Z21">
        <v>87.48</v>
      </c>
      <c r="AA21">
        <v>314.8</v>
      </c>
      <c r="AB21">
        <v>2617</v>
      </c>
      <c r="AC21">
        <v>37.4</v>
      </c>
      <c r="AD21">
        <v>2183</v>
      </c>
    </row>
    <row r="22" spans="3:30" x14ac:dyDescent="0.25">
      <c r="C22" s="1">
        <v>44161</v>
      </c>
      <c r="D22">
        <v>251.5</v>
      </c>
      <c r="E22">
        <v>185.71</v>
      </c>
      <c r="F22">
        <v>5260</v>
      </c>
      <c r="G22">
        <v>21642</v>
      </c>
      <c r="H22">
        <v>1149.2</v>
      </c>
      <c r="I22">
        <v>466.55</v>
      </c>
      <c r="J22">
        <v>526.4</v>
      </c>
      <c r="K22">
        <v>4986</v>
      </c>
      <c r="L22">
        <v>14958.5</v>
      </c>
      <c r="M22">
        <v>5016.8</v>
      </c>
      <c r="N22">
        <v>198.16</v>
      </c>
      <c r="O22">
        <v>1630</v>
      </c>
      <c r="P22">
        <v>147.5</v>
      </c>
      <c r="Q22">
        <v>42.8</v>
      </c>
      <c r="R22">
        <v>30.207000000000001</v>
      </c>
      <c r="S22">
        <v>1253.5999999999999</v>
      </c>
      <c r="T22">
        <v>3.7100000000000001E-2</v>
      </c>
      <c r="U22">
        <v>229.25</v>
      </c>
      <c r="V22">
        <v>5.2350000000000003</v>
      </c>
      <c r="W22">
        <v>71.3</v>
      </c>
      <c r="X22">
        <v>39.770000000000003</v>
      </c>
      <c r="Y22">
        <v>125.5</v>
      </c>
      <c r="Z22">
        <v>87.05</v>
      </c>
      <c r="AA22">
        <v>317.75</v>
      </c>
      <c r="AB22">
        <v>2730</v>
      </c>
      <c r="AC22">
        <v>37.064999999999998</v>
      </c>
      <c r="AD22">
        <v>2255</v>
      </c>
    </row>
    <row r="23" spans="3:30" x14ac:dyDescent="0.25">
      <c r="C23" s="1">
        <v>44162</v>
      </c>
      <c r="D23">
        <v>251.18</v>
      </c>
      <c r="E23">
        <v>186.03</v>
      </c>
      <c r="F23">
        <v>5245</v>
      </c>
      <c r="G23">
        <v>21800</v>
      </c>
      <c r="H23">
        <v>1146.4000000000001</v>
      </c>
      <c r="I23">
        <v>459.65</v>
      </c>
      <c r="J23">
        <v>510.3</v>
      </c>
      <c r="K23">
        <v>4995</v>
      </c>
      <c r="L23">
        <v>14670</v>
      </c>
      <c r="M23">
        <v>5072.8</v>
      </c>
      <c r="N23">
        <v>198.68</v>
      </c>
      <c r="O23">
        <v>1607.9</v>
      </c>
      <c r="P23">
        <v>153.26</v>
      </c>
      <c r="Q23">
        <v>42.78</v>
      </c>
      <c r="R23">
        <v>30.931000000000001</v>
      </c>
      <c r="S23">
        <v>1247.8</v>
      </c>
      <c r="T23">
        <v>3.7874999999999999E-2</v>
      </c>
      <c r="U23">
        <v>229.64</v>
      </c>
      <c r="V23">
        <v>5.2220000000000004</v>
      </c>
      <c r="W23">
        <v>72.099999999999994</v>
      </c>
      <c r="X23">
        <v>40.045000000000002</v>
      </c>
      <c r="Y23">
        <v>125.12</v>
      </c>
      <c r="Z23">
        <v>90.03</v>
      </c>
      <c r="AA23">
        <v>321</v>
      </c>
      <c r="AB23">
        <v>2777.5</v>
      </c>
      <c r="AC23">
        <v>36.945</v>
      </c>
      <c r="AD23">
        <v>2276</v>
      </c>
    </row>
    <row r="24" spans="3:30" x14ac:dyDescent="0.25">
      <c r="C24" s="1">
        <v>44165</v>
      </c>
      <c r="D24">
        <v>249.65</v>
      </c>
      <c r="E24">
        <v>182.43</v>
      </c>
      <c r="F24">
        <v>5031</v>
      </c>
      <c r="G24">
        <v>21456</v>
      </c>
      <c r="H24">
        <v>1119.5999999999999</v>
      </c>
      <c r="I24">
        <v>447.55</v>
      </c>
      <c r="J24">
        <v>490</v>
      </c>
      <c r="K24">
        <v>4947</v>
      </c>
      <c r="L24">
        <v>14522.5</v>
      </c>
      <c r="M24">
        <v>5370</v>
      </c>
      <c r="N24">
        <v>192.38</v>
      </c>
      <c r="O24">
        <v>1595.4</v>
      </c>
      <c r="P24">
        <v>152.91999999999999</v>
      </c>
      <c r="Q24">
        <v>42</v>
      </c>
      <c r="R24">
        <v>30.757000000000001</v>
      </c>
      <c r="S24">
        <v>1202</v>
      </c>
      <c r="T24">
        <v>3.7400000000000003E-2</v>
      </c>
      <c r="U24">
        <v>229.35</v>
      </c>
      <c r="V24">
        <v>5.1360000000000001</v>
      </c>
      <c r="W24">
        <v>72.180000000000007</v>
      </c>
      <c r="X24">
        <v>39.685000000000002</v>
      </c>
      <c r="Y24">
        <v>140.19999999999999</v>
      </c>
      <c r="Z24">
        <v>87.95</v>
      </c>
      <c r="AA24">
        <v>321</v>
      </c>
      <c r="AB24">
        <v>2720.5</v>
      </c>
      <c r="AC24">
        <v>35.270000000000003</v>
      </c>
      <c r="AD24">
        <v>2217.1999999999998</v>
      </c>
    </row>
    <row r="25" spans="3:30" x14ac:dyDescent="0.25">
      <c r="C25" s="1">
        <v>44166</v>
      </c>
      <c r="D25">
        <v>259.76</v>
      </c>
      <c r="E25">
        <v>184.45</v>
      </c>
      <c r="F25">
        <v>5049</v>
      </c>
      <c r="G25">
        <v>21894</v>
      </c>
      <c r="H25">
        <v>1136</v>
      </c>
      <c r="I25">
        <v>444.15</v>
      </c>
      <c r="J25">
        <v>491.4</v>
      </c>
      <c r="K25">
        <v>4992.5</v>
      </c>
      <c r="L25">
        <v>14725</v>
      </c>
      <c r="M25">
        <v>5294</v>
      </c>
      <c r="N25">
        <v>194.98</v>
      </c>
      <c r="O25">
        <v>1672</v>
      </c>
      <c r="P25">
        <v>155.19999999999999</v>
      </c>
      <c r="Q25">
        <v>43.53</v>
      </c>
      <c r="R25">
        <v>30.2</v>
      </c>
      <c r="S25">
        <v>1221.8</v>
      </c>
      <c r="T25">
        <v>3.7589999999999998E-2</v>
      </c>
      <c r="U25">
        <v>234.33</v>
      </c>
      <c r="V25">
        <v>5.22</v>
      </c>
      <c r="W25">
        <v>71.900000000000006</v>
      </c>
      <c r="X25">
        <v>39.784999999999997</v>
      </c>
      <c r="Y25">
        <v>141.02000000000001</v>
      </c>
      <c r="Z25">
        <v>89.68</v>
      </c>
      <c r="AA25">
        <v>324.5</v>
      </c>
      <c r="AB25">
        <v>2808.5</v>
      </c>
      <c r="AC25">
        <v>34.9</v>
      </c>
      <c r="AD25">
        <v>2170.1999999999998</v>
      </c>
    </row>
    <row r="26" spans="3:30" x14ac:dyDescent="0.25">
      <c r="C26" s="1">
        <v>44167</v>
      </c>
      <c r="D26">
        <v>264.99</v>
      </c>
      <c r="E26">
        <v>186.97</v>
      </c>
      <c r="F26">
        <v>5173</v>
      </c>
      <c r="G26">
        <v>22952</v>
      </c>
      <c r="H26">
        <v>1170</v>
      </c>
      <c r="I26">
        <v>447</v>
      </c>
      <c r="J26">
        <v>509.5</v>
      </c>
      <c r="K26">
        <v>4990</v>
      </c>
      <c r="L26">
        <v>14599</v>
      </c>
      <c r="M26">
        <v>5217.6000000000004</v>
      </c>
      <c r="N26">
        <v>202.9</v>
      </c>
      <c r="O26">
        <v>1675.5</v>
      </c>
      <c r="P26">
        <v>157.9</v>
      </c>
      <c r="Q26">
        <v>45.36</v>
      </c>
      <c r="R26">
        <v>29.774999999999999</v>
      </c>
      <c r="S26">
        <v>1217.5999999999999</v>
      </c>
      <c r="T26">
        <v>3.7920000000000002E-2</v>
      </c>
      <c r="U26">
        <v>238.4</v>
      </c>
      <c r="V26">
        <v>5.2195</v>
      </c>
      <c r="W26">
        <v>72.02</v>
      </c>
      <c r="X26">
        <v>40.450000000000003</v>
      </c>
      <c r="Y26">
        <v>136.5</v>
      </c>
      <c r="Z26">
        <v>89.08</v>
      </c>
      <c r="AA26">
        <v>322.3</v>
      </c>
      <c r="AB26">
        <v>2837</v>
      </c>
      <c r="AC26">
        <v>35.65</v>
      </c>
      <c r="AD26">
        <v>2159.6</v>
      </c>
    </row>
    <row r="27" spans="3:30" x14ac:dyDescent="0.25">
      <c r="C27" s="1">
        <v>44168</v>
      </c>
      <c r="D27">
        <v>263.94</v>
      </c>
      <c r="E27">
        <v>186.04</v>
      </c>
      <c r="F27">
        <v>5048</v>
      </c>
      <c r="G27">
        <v>23152</v>
      </c>
      <c r="H27">
        <v>1147.2</v>
      </c>
      <c r="I27">
        <v>436.55</v>
      </c>
      <c r="J27">
        <v>493.8</v>
      </c>
      <c r="K27">
        <v>5000</v>
      </c>
      <c r="L27">
        <v>14505</v>
      </c>
      <c r="M27">
        <v>5175</v>
      </c>
      <c r="N27">
        <v>191.2</v>
      </c>
      <c r="O27">
        <v>1670.5</v>
      </c>
      <c r="P27">
        <v>159</v>
      </c>
      <c r="Q27">
        <v>43.9</v>
      </c>
      <c r="R27">
        <v>29.85</v>
      </c>
      <c r="S27">
        <v>1199.2</v>
      </c>
      <c r="T27">
        <v>3.7644999999999998E-2</v>
      </c>
      <c r="U27">
        <v>239.39</v>
      </c>
      <c r="V27">
        <v>5.21</v>
      </c>
      <c r="W27">
        <v>73.5</v>
      </c>
      <c r="X27">
        <v>40</v>
      </c>
      <c r="Y27">
        <v>138</v>
      </c>
      <c r="Z27">
        <v>89.94</v>
      </c>
      <c r="AA27">
        <v>319.5</v>
      </c>
      <c r="AB27">
        <v>2789</v>
      </c>
      <c r="AC27">
        <v>35.454999999999998</v>
      </c>
      <c r="AD27">
        <v>2174</v>
      </c>
    </row>
    <row r="28" spans="3:30" x14ac:dyDescent="0.25">
      <c r="C28" s="1">
        <v>44169</v>
      </c>
      <c r="D28">
        <v>269.20999999999998</v>
      </c>
      <c r="E28">
        <v>189</v>
      </c>
      <c r="F28">
        <v>5135</v>
      </c>
      <c r="G28">
        <v>23154</v>
      </c>
      <c r="H28">
        <v>1185.5999999999999</v>
      </c>
      <c r="I28">
        <v>444.85</v>
      </c>
      <c r="J28">
        <v>510</v>
      </c>
      <c r="K28">
        <v>4980</v>
      </c>
      <c r="L28">
        <v>14374</v>
      </c>
      <c r="M28">
        <v>5090.2</v>
      </c>
      <c r="N28">
        <v>191.38</v>
      </c>
      <c r="O28">
        <v>1621</v>
      </c>
      <c r="P28">
        <v>157.72</v>
      </c>
      <c r="Q28">
        <v>44.5</v>
      </c>
      <c r="R28">
        <v>29.759</v>
      </c>
      <c r="S28">
        <v>1218</v>
      </c>
      <c r="T28">
        <v>3.7925E-2</v>
      </c>
      <c r="U28">
        <v>244.67</v>
      </c>
      <c r="V28">
        <v>5.17</v>
      </c>
      <c r="W28">
        <v>74.2</v>
      </c>
      <c r="X28">
        <v>38.994999999999997</v>
      </c>
      <c r="Y28">
        <v>139.4</v>
      </c>
      <c r="Z28">
        <v>91.27</v>
      </c>
      <c r="AA28">
        <v>317.75</v>
      </c>
      <c r="AB28">
        <v>2790.5</v>
      </c>
      <c r="AC28">
        <v>35.405000000000001</v>
      </c>
      <c r="AD28">
        <v>2146</v>
      </c>
    </row>
    <row r="29" spans="3:30" x14ac:dyDescent="0.25">
      <c r="C29" s="1">
        <v>44172</v>
      </c>
      <c r="D29">
        <v>275.8</v>
      </c>
      <c r="E29">
        <v>191.5</v>
      </c>
      <c r="F29">
        <v>5062</v>
      </c>
      <c r="G29">
        <v>23154</v>
      </c>
      <c r="H29">
        <v>1169.4000000000001</v>
      </c>
      <c r="I29">
        <v>440.4</v>
      </c>
      <c r="J29">
        <v>502.1</v>
      </c>
      <c r="K29">
        <v>5015</v>
      </c>
      <c r="L29">
        <v>14771</v>
      </c>
      <c r="M29">
        <v>5007.8</v>
      </c>
      <c r="N29">
        <v>197.5</v>
      </c>
      <c r="O29">
        <v>1629</v>
      </c>
      <c r="P29">
        <v>158.18</v>
      </c>
      <c r="Q29">
        <v>47.28</v>
      </c>
      <c r="R29">
        <v>29.492000000000001</v>
      </c>
      <c r="S29">
        <v>1210</v>
      </c>
      <c r="T29">
        <v>3.7644999999999998E-2</v>
      </c>
      <c r="U29">
        <v>248.66</v>
      </c>
      <c r="V29">
        <v>5.1509999999999998</v>
      </c>
      <c r="W29">
        <v>73.900000000000006</v>
      </c>
      <c r="X29">
        <v>39.229999999999997</v>
      </c>
      <c r="Y29">
        <v>143.5</v>
      </c>
      <c r="Z29">
        <v>92.75</v>
      </c>
      <c r="AA29">
        <v>319.05</v>
      </c>
      <c r="AB29">
        <v>2791.5</v>
      </c>
      <c r="AC29">
        <v>35.195</v>
      </c>
      <c r="AD29">
        <v>2111.6</v>
      </c>
    </row>
    <row r="30" spans="3:30" x14ac:dyDescent="0.25">
      <c r="C30" s="1">
        <v>44173</v>
      </c>
      <c r="D30">
        <v>275.5</v>
      </c>
      <c r="E30">
        <v>190.08</v>
      </c>
      <c r="F30">
        <v>4999</v>
      </c>
      <c r="G30">
        <v>22808</v>
      </c>
      <c r="H30">
        <v>1156.8</v>
      </c>
      <c r="I30">
        <v>430</v>
      </c>
      <c r="J30">
        <v>496.7</v>
      </c>
      <c r="K30">
        <v>5041</v>
      </c>
      <c r="L30">
        <v>15077.5</v>
      </c>
      <c r="M30">
        <v>5061</v>
      </c>
      <c r="N30">
        <v>198.48</v>
      </c>
      <c r="O30">
        <v>1665.5</v>
      </c>
      <c r="P30">
        <v>159.77000000000001</v>
      </c>
      <c r="Q30">
        <v>47.09</v>
      </c>
      <c r="R30">
        <v>29.245000000000001</v>
      </c>
      <c r="S30">
        <v>1190.2</v>
      </c>
      <c r="T30">
        <v>3.7455000000000002E-2</v>
      </c>
      <c r="U30">
        <v>248</v>
      </c>
      <c r="V30">
        <v>5.3319999999999999</v>
      </c>
      <c r="W30">
        <v>72.22</v>
      </c>
      <c r="X30">
        <v>39.35</v>
      </c>
      <c r="Y30">
        <v>142</v>
      </c>
      <c r="Z30">
        <v>92.43</v>
      </c>
      <c r="AA30">
        <v>316.89999999999998</v>
      </c>
      <c r="AB30">
        <v>2721.5</v>
      </c>
      <c r="AC30">
        <v>34.700000000000003</v>
      </c>
      <c r="AD30">
        <v>2117</v>
      </c>
    </row>
    <row r="31" spans="3:30" x14ac:dyDescent="0.25">
      <c r="C31" s="1">
        <v>44174</v>
      </c>
      <c r="D31">
        <v>278.48</v>
      </c>
      <c r="E31">
        <v>190.55</v>
      </c>
      <c r="F31">
        <v>5058</v>
      </c>
      <c r="G31">
        <v>23260</v>
      </c>
      <c r="H31">
        <v>1180</v>
      </c>
      <c r="I31">
        <v>437</v>
      </c>
      <c r="J31">
        <v>495</v>
      </c>
      <c r="K31">
        <v>5380</v>
      </c>
      <c r="L31">
        <v>14530.5</v>
      </c>
      <c r="M31">
        <v>5188.6000000000004</v>
      </c>
      <c r="N31">
        <v>197.52</v>
      </c>
      <c r="O31">
        <v>1641.5</v>
      </c>
      <c r="P31">
        <v>163.24</v>
      </c>
      <c r="Q31">
        <v>47.13</v>
      </c>
      <c r="R31">
        <v>28.725000000000001</v>
      </c>
      <c r="S31">
        <v>1183.4000000000001</v>
      </c>
      <c r="T31">
        <v>3.7510000000000002E-2</v>
      </c>
      <c r="U31">
        <v>251.74</v>
      </c>
      <c r="V31">
        <v>5.4</v>
      </c>
      <c r="W31">
        <v>72</v>
      </c>
      <c r="X31">
        <v>38.82</v>
      </c>
      <c r="Y31">
        <v>142.16</v>
      </c>
      <c r="Z31">
        <v>91.71</v>
      </c>
      <c r="AA31">
        <v>322.75</v>
      </c>
      <c r="AB31">
        <v>2832.5</v>
      </c>
      <c r="AC31">
        <v>34.9</v>
      </c>
      <c r="AD31">
        <v>2122.6</v>
      </c>
    </row>
    <row r="32" spans="3:30" x14ac:dyDescent="0.25">
      <c r="C32" s="1">
        <v>44175</v>
      </c>
      <c r="D32">
        <v>281.81</v>
      </c>
      <c r="E32">
        <v>193.3</v>
      </c>
      <c r="F32">
        <v>5315.5</v>
      </c>
      <c r="G32">
        <v>24050</v>
      </c>
      <c r="H32">
        <v>1201.4000000000001</v>
      </c>
      <c r="I32">
        <v>452.15</v>
      </c>
      <c r="J32">
        <v>510.5</v>
      </c>
      <c r="K32">
        <v>5334</v>
      </c>
      <c r="L32">
        <v>14382</v>
      </c>
      <c r="M32">
        <v>5134.8</v>
      </c>
      <c r="N32">
        <v>201</v>
      </c>
      <c r="O32">
        <v>1652.8</v>
      </c>
      <c r="P32">
        <v>164.62</v>
      </c>
      <c r="Q32">
        <v>47.87</v>
      </c>
      <c r="R32">
        <v>28.202999999999999</v>
      </c>
      <c r="S32">
        <v>1230.2</v>
      </c>
      <c r="T32">
        <v>3.8074999999999998E-2</v>
      </c>
      <c r="U32">
        <v>251.04</v>
      </c>
      <c r="V32">
        <v>5.3875000000000002</v>
      </c>
      <c r="W32">
        <v>71.819999999999993</v>
      </c>
      <c r="X32">
        <v>39.15</v>
      </c>
      <c r="Y32">
        <v>138</v>
      </c>
      <c r="Z32">
        <v>91.94</v>
      </c>
      <c r="AA32">
        <v>324.05</v>
      </c>
      <c r="AB32">
        <v>2868</v>
      </c>
      <c r="AC32">
        <v>35.585000000000001</v>
      </c>
      <c r="AD32">
        <v>2098.1999999999998</v>
      </c>
    </row>
    <row r="33" spans="3:30" x14ac:dyDescent="0.25">
      <c r="C33" s="1">
        <v>44176</v>
      </c>
      <c r="D33">
        <v>283.67</v>
      </c>
      <c r="E33">
        <v>200.01</v>
      </c>
      <c r="F33">
        <v>5411</v>
      </c>
      <c r="G33">
        <v>23950</v>
      </c>
      <c r="H33">
        <v>1222</v>
      </c>
      <c r="I33">
        <v>447.9</v>
      </c>
      <c r="J33">
        <v>509</v>
      </c>
      <c r="K33">
        <v>5335.5</v>
      </c>
      <c r="L33">
        <v>14247</v>
      </c>
      <c r="M33">
        <v>5150</v>
      </c>
      <c r="N33">
        <v>203.9</v>
      </c>
      <c r="O33">
        <v>1642.9</v>
      </c>
      <c r="P33">
        <v>167</v>
      </c>
      <c r="Q33">
        <v>48.594999999999999</v>
      </c>
      <c r="R33">
        <v>27.95</v>
      </c>
      <c r="S33">
        <v>1225</v>
      </c>
      <c r="T33">
        <v>3.7819999999999999E-2</v>
      </c>
      <c r="U33">
        <v>251.01</v>
      </c>
      <c r="V33">
        <v>5.2975000000000003</v>
      </c>
      <c r="W33">
        <v>71.260000000000005</v>
      </c>
      <c r="X33">
        <v>39.914999999999999</v>
      </c>
      <c r="Y33">
        <v>145.5</v>
      </c>
      <c r="Z33">
        <v>92.09</v>
      </c>
      <c r="AA33">
        <v>321.2</v>
      </c>
      <c r="AB33">
        <v>2851</v>
      </c>
      <c r="AC33">
        <v>35.664999999999999</v>
      </c>
      <c r="AD33">
        <v>2094.8000000000002</v>
      </c>
    </row>
    <row r="34" spans="3:30" x14ac:dyDescent="0.25">
      <c r="C34" s="1">
        <v>44179</v>
      </c>
      <c r="D34">
        <v>279.04000000000002</v>
      </c>
      <c r="E34">
        <v>199.6</v>
      </c>
      <c r="F34">
        <v>5299</v>
      </c>
      <c r="G34">
        <v>23946</v>
      </c>
      <c r="H34">
        <v>1269</v>
      </c>
      <c r="I34">
        <v>442.45</v>
      </c>
      <c r="J34">
        <v>512.5</v>
      </c>
      <c r="K34">
        <v>5500.5</v>
      </c>
      <c r="L34">
        <v>14340</v>
      </c>
      <c r="M34">
        <v>5062.6000000000004</v>
      </c>
      <c r="N34">
        <v>210.2</v>
      </c>
      <c r="O34">
        <v>1590.2</v>
      </c>
      <c r="P34">
        <v>162.5</v>
      </c>
      <c r="Q34">
        <v>50.67</v>
      </c>
      <c r="R34">
        <v>27.175000000000001</v>
      </c>
      <c r="S34">
        <v>1214.5999999999999</v>
      </c>
      <c r="T34">
        <v>3.7830000000000003E-2</v>
      </c>
      <c r="U34">
        <v>246.5</v>
      </c>
      <c r="V34">
        <v>5.2169999999999996</v>
      </c>
      <c r="W34">
        <v>70.5</v>
      </c>
      <c r="X34">
        <v>40.200000000000003</v>
      </c>
      <c r="Y34">
        <v>144.44</v>
      </c>
      <c r="Z34">
        <v>90.4</v>
      </c>
      <c r="AA34">
        <v>319</v>
      </c>
      <c r="AB34">
        <v>2884</v>
      </c>
      <c r="AC34">
        <v>35.520000000000003</v>
      </c>
      <c r="AD34">
        <v>2088.4</v>
      </c>
    </row>
    <row r="35" spans="3:30" x14ac:dyDescent="0.25">
      <c r="C35" s="1">
        <v>44180</v>
      </c>
      <c r="D35">
        <v>276.47000000000003</v>
      </c>
      <c r="E35">
        <v>199.22</v>
      </c>
      <c r="F35">
        <v>5230</v>
      </c>
      <c r="G35">
        <v>23508</v>
      </c>
      <c r="H35">
        <v>1259</v>
      </c>
      <c r="I35">
        <v>449.9</v>
      </c>
      <c r="J35">
        <v>514.4</v>
      </c>
      <c r="K35">
        <v>5492.5</v>
      </c>
      <c r="L35">
        <v>14980</v>
      </c>
      <c r="M35">
        <v>5068.2</v>
      </c>
      <c r="N35">
        <v>209.46</v>
      </c>
      <c r="O35">
        <v>1629.4</v>
      </c>
      <c r="P35">
        <v>164.98</v>
      </c>
      <c r="Q35">
        <v>51.29</v>
      </c>
      <c r="R35">
        <v>28</v>
      </c>
      <c r="S35">
        <v>1201</v>
      </c>
      <c r="T35">
        <v>3.7650000000000003E-2</v>
      </c>
      <c r="U35">
        <v>243.89</v>
      </c>
      <c r="V35">
        <v>5.2</v>
      </c>
      <c r="W35">
        <v>70.08</v>
      </c>
      <c r="X35">
        <v>40.04</v>
      </c>
      <c r="Y35">
        <v>142.4</v>
      </c>
      <c r="Z35">
        <v>92.18</v>
      </c>
      <c r="AA35">
        <v>319.89999999999998</v>
      </c>
      <c r="AB35">
        <v>2897</v>
      </c>
      <c r="AC35">
        <v>34.884999999999998</v>
      </c>
      <c r="AD35">
        <v>2081.6</v>
      </c>
    </row>
    <row r="36" spans="3:30" x14ac:dyDescent="0.25">
      <c r="C36" s="1">
        <v>44181</v>
      </c>
      <c r="D36">
        <v>278.35000000000002</v>
      </c>
      <c r="E36">
        <v>206</v>
      </c>
      <c r="F36">
        <v>5180</v>
      </c>
      <c r="G36">
        <v>23398</v>
      </c>
      <c r="H36">
        <v>1267</v>
      </c>
      <c r="I36">
        <v>442.9</v>
      </c>
      <c r="J36">
        <v>512.5</v>
      </c>
      <c r="K36">
        <v>5433</v>
      </c>
      <c r="L36">
        <v>14790</v>
      </c>
      <c r="M36">
        <v>5204.8</v>
      </c>
      <c r="N36">
        <v>213.8</v>
      </c>
      <c r="O36">
        <v>1632.2</v>
      </c>
      <c r="P36">
        <v>162.96</v>
      </c>
      <c r="Q36">
        <v>52.604999999999997</v>
      </c>
      <c r="R36">
        <v>28.760999999999999</v>
      </c>
      <c r="S36">
        <v>1191</v>
      </c>
      <c r="T36">
        <v>3.8199999999999998E-2</v>
      </c>
      <c r="U36">
        <v>246.47</v>
      </c>
      <c r="V36">
        <v>5.24</v>
      </c>
      <c r="W36">
        <v>70.98</v>
      </c>
      <c r="X36">
        <v>40.01</v>
      </c>
      <c r="Y36">
        <v>143.76</v>
      </c>
      <c r="Z36">
        <v>95.7</v>
      </c>
      <c r="AA36">
        <v>322</v>
      </c>
      <c r="AB36">
        <v>2845</v>
      </c>
      <c r="AC36">
        <v>35.39</v>
      </c>
      <c r="AD36">
        <v>2074</v>
      </c>
    </row>
    <row r="37" spans="3:30" x14ac:dyDescent="0.25">
      <c r="C37" s="1">
        <v>44182</v>
      </c>
      <c r="D37">
        <v>278.16000000000003</v>
      </c>
      <c r="E37">
        <v>213.81</v>
      </c>
      <c r="F37">
        <v>5157</v>
      </c>
      <c r="G37">
        <v>23450</v>
      </c>
      <c r="H37">
        <v>1244</v>
      </c>
      <c r="I37">
        <v>442.8</v>
      </c>
      <c r="J37">
        <v>513.20000000000005</v>
      </c>
      <c r="K37">
        <v>5400.5</v>
      </c>
      <c r="L37">
        <v>15280</v>
      </c>
      <c r="M37">
        <v>5164.8</v>
      </c>
      <c r="N37">
        <v>212</v>
      </c>
      <c r="O37">
        <v>1698</v>
      </c>
      <c r="P37">
        <v>163</v>
      </c>
      <c r="Q37">
        <v>53</v>
      </c>
      <c r="R37">
        <v>28.84</v>
      </c>
      <c r="S37">
        <v>1189.2</v>
      </c>
      <c r="T37">
        <v>3.823E-2</v>
      </c>
      <c r="U37">
        <v>248.5</v>
      </c>
      <c r="V37">
        <v>5.2640000000000002</v>
      </c>
      <c r="W37">
        <v>70.599999999999994</v>
      </c>
      <c r="X37">
        <v>39.770000000000003</v>
      </c>
      <c r="Y37">
        <v>140</v>
      </c>
      <c r="Z37">
        <v>96</v>
      </c>
      <c r="AA37">
        <v>323.64999999999998</v>
      </c>
      <c r="AB37">
        <v>2745</v>
      </c>
      <c r="AC37">
        <v>35.034999999999997</v>
      </c>
      <c r="AD37">
        <v>2041.2</v>
      </c>
    </row>
    <row r="38" spans="3:30" x14ac:dyDescent="0.25">
      <c r="C38" s="1">
        <v>44183</v>
      </c>
      <c r="D38">
        <v>271.14999999999998</v>
      </c>
      <c r="E38">
        <v>214.28</v>
      </c>
      <c r="F38">
        <v>5149</v>
      </c>
      <c r="G38">
        <v>23574</v>
      </c>
      <c r="H38">
        <v>1262</v>
      </c>
      <c r="I38">
        <v>440.25</v>
      </c>
      <c r="J38">
        <v>511</v>
      </c>
      <c r="K38">
        <v>5427</v>
      </c>
      <c r="L38">
        <v>15493</v>
      </c>
      <c r="M38">
        <v>5140</v>
      </c>
      <c r="N38">
        <v>214.02</v>
      </c>
      <c r="O38">
        <v>1690.2</v>
      </c>
      <c r="P38">
        <v>160.47</v>
      </c>
      <c r="Q38">
        <v>52.4</v>
      </c>
      <c r="R38">
        <v>28.52</v>
      </c>
      <c r="S38">
        <v>1239</v>
      </c>
      <c r="T38">
        <v>3.8249999999999999E-2</v>
      </c>
      <c r="U38">
        <v>242</v>
      </c>
      <c r="V38">
        <v>5.2050000000000001</v>
      </c>
      <c r="W38">
        <v>71</v>
      </c>
      <c r="X38">
        <v>40.28</v>
      </c>
      <c r="Y38">
        <v>134.24</v>
      </c>
      <c r="Z38">
        <v>94.16</v>
      </c>
      <c r="AA38">
        <v>328.4</v>
      </c>
      <c r="AB38">
        <v>2752</v>
      </c>
      <c r="AC38">
        <v>35.24</v>
      </c>
      <c r="AD38">
        <v>2013.4</v>
      </c>
    </row>
    <row r="39" spans="3:30" x14ac:dyDescent="0.25">
      <c r="C39" s="1">
        <v>44186</v>
      </c>
      <c r="D39">
        <v>259.89</v>
      </c>
      <c r="E39">
        <v>202.6</v>
      </c>
      <c r="F39">
        <v>5043</v>
      </c>
      <c r="G39">
        <v>23200</v>
      </c>
      <c r="H39">
        <v>1250</v>
      </c>
      <c r="I39">
        <v>419.75</v>
      </c>
      <c r="J39">
        <v>498</v>
      </c>
      <c r="K39">
        <v>5331</v>
      </c>
      <c r="L39">
        <v>15586.5</v>
      </c>
      <c r="M39">
        <v>5051.2</v>
      </c>
      <c r="N39">
        <v>208.82</v>
      </c>
      <c r="O39">
        <v>1679</v>
      </c>
      <c r="P39">
        <v>156.74</v>
      </c>
      <c r="Q39">
        <v>51.98</v>
      </c>
      <c r="R39">
        <v>27.481999999999999</v>
      </c>
      <c r="S39">
        <v>1200.8</v>
      </c>
      <c r="T39">
        <v>3.7089999999999998E-2</v>
      </c>
      <c r="U39">
        <v>232.26</v>
      </c>
      <c r="V39">
        <v>5.1185</v>
      </c>
      <c r="W39">
        <v>68.16</v>
      </c>
      <c r="X39">
        <v>40.729999999999997</v>
      </c>
      <c r="Y39">
        <v>135</v>
      </c>
      <c r="Z39">
        <v>94.44</v>
      </c>
      <c r="AA39">
        <v>325.45</v>
      </c>
      <c r="AB39">
        <v>2676.5</v>
      </c>
      <c r="AC39">
        <v>34.409999999999997</v>
      </c>
      <c r="AD39">
        <v>1981.8</v>
      </c>
    </row>
    <row r="40" spans="3:30" x14ac:dyDescent="0.25">
      <c r="C40" s="1">
        <v>44187</v>
      </c>
      <c r="D40">
        <v>262.92</v>
      </c>
      <c r="E40">
        <v>209.86</v>
      </c>
      <c r="F40">
        <v>5090.5</v>
      </c>
      <c r="G40">
        <v>23786</v>
      </c>
      <c r="H40">
        <v>1284.8</v>
      </c>
      <c r="I40">
        <v>434.45</v>
      </c>
      <c r="J40">
        <v>505</v>
      </c>
      <c r="K40">
        <v>5365</v>
      </c>
      <c r="L40">
        <v>15076</v>
      </c>
      <c r="M40">
        <v>5048</v>
      </c>
      <c r="N40">
        <v>215.26</v>
      </c>
      <c r="O40">
        <v>1692.8</v>
      </c>
      <c r="P40">
        <v>161.63999999999999</v>
      </c>
      <c r="Q40">
        <v>53.625</v>
      </c>
      <c r="R40">
        <v>28.564</v>
      </c>
      <c r="S40">
        <v>1222.5999999999999</v>
      </c>
      <c r="T40">
        <v>3.7319999999999999E-2</v>
      </c>
      <c r="U40">
        <v>237.4</v>
      </c>
      <c r="V40">
        <v>5.1704999999999997</v>
      </c>
      <c r="W40">
        <v>69.08</v>
      </c>
      <c r="X40">
        <v>41.32</v>
      </c>
      <c r="Y40">
        <v>137.24</v>
      </c>
      <c r="Z40">
        <v>96.14</v>
      </c>
      <c r="AA40">
        <v>327.10000000000002</v>
      </c>
      <c r="AB40">
        <v>2716.5</v>
      </c>
      <c r="AC40">
        <v>34.805</v>
      </c>
      <c r="AD40">
        <v>1973.6</v>
      </c>
    </row>
    <row r="41" spans="3:30" x14ac:dyDescent="0.25">
      <c r="C41" s="1">
        <v>44188</v>
      </c>
    </row>
  </sheetData>
  <mergeCells count="1">
    <mergeCell ref="A1:B1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GetPrices">
              <controlPr defaultSize="0" print="0" autoFill="0" autoPict="0" macro="[0]!Кнопка1_Щелчок">
                <anchor moveWithCells="1">
                  <from>
                    <xdr:col>3</xdr:col>
                    <xdr:colOff>247650</xdr:colOff>
                    <xdr:row>0</xdr:row>
                    <xdr:rowOff>66675</xdr:rowOff>
                  </from>
                  <to>
                    <xdr:col>5</xdr:col>
                    <xdr:colOff>476250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Кнопка2_Щелчок">
                <anchor moveWithCells="1">
                  <from>
                    <xdr:col>11</xdr:col>
                    <xdr:colOff>514350</xdr:colOff>
                    <xdr:row>0</xdr:row>
                    <xdr:rowOff>85725</xdr:rowOff>
                  </from>
                  <to>
                    <xdr:col>14</xdr:col>
                    <xdr:colOff>333375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D52"/>
  <sheetViews>
    <sheetView workbookViewId="0">
      <selection activeCell="D4" sqref="D4"/>
    </sheetView>
  </sheetViews>
  <sheetFormatPr defaultRowHeight="15" x14ac:dyDescent="0.25"/>
  <cols>
    <col min="1" max="1" width="5.42578125" customWidth="1"/>
    <col min="2" max="2" width="5.28515625" customWidth="1"/>
    <col min="3" max="3" width="34.7109375" customWidth="1"/>
    <col min="4" max="4" width="16.85546875" bestFit="1" customWidth="1"/>
  </cols>
  <sheetData>
    <row r="2" spans="2:4" x14ac:dyDescent="0.25">
      <c r="B2" s="15" t="s">
        <v>31</v>
      </c>
      <c r="C2" s="16"/>
      <c r="D2" s="8" t="s">
        <v>2</v>
      </c>
    </row>
    <row r="3" spans="2:4" ht="15" customHeight="1" x14ac:dyDescent="0.25">
      <c r="B3" s="15" t="s">
        <v>32</v>
      </c>
      <c r="C3" s="16"/>
      <c r="D3" s="10">
        <v>44166</v>
      </c>
    </row>
    <row r="4" spans="2:4" ht="15" customHeight="1" x14ac:dyDescent="0.25">
      <c r="B4" s="15" t="s">
        <v>33</v>
      </c>
      <c r="C4" s="16"/>
      <c r="D4" s="10">
        <f ca="1">TODAY()</f>
        <v>44188</v>
      </c>
    </row>
    <row r="5" spans="2:4" x14ac:dyDescent="0.25">
      <c r="B5" s="18" t="s">
        <v>34</v>
      </c>
      <c r="C5" s="19"/>
      <c r="D5" s="12"/>
    </row>
    <row r="6" spans="2:4" x14ac:dyDescent="0.25">
      <c r="B6" s="17" t="s">
        <v>41</v>
      </c>
      <c r="C6" s="17"/>
      <c r="D6" s="14">
        <f>COLUMN(Лист1!$C$5)</f>
        <v>3</v>
      </c>
    </row>
    <row r="7" spans="2:4" x14ac:dyDescent="0.25">
      <c r="B7" s="17" t="s">
        <v>35</v>
      </c>
      <c r="C7" s="17"/>
      <c r="D7" s="14">
        <f>ROW(Лист1!$C$5)</f>
        <v>5</v>
      </c>
    </row>
    <row r="8" spans="2:4" x14ac:dyDescent="0.25">
      <c r="B8" s="17" t="s">
        <v>40</v>
      </c>
      <c r="C8" s="17"/>
      <c r="D8" s="12">
        <f>IFERROR(MATCH(D3,Лист1!$C$5:$C$1000,0),"Дата начала не найдена")</f>
        <v>21</v>
      </c>
    </row>
    <row r="9" spans="2:4" x14ac:dyDescent="0.25">
      <c r="B9" s="17" t="s">
        <v>36</v>
      </c>
      <c r="C9" s="17"/>
      <c r="D9" s="20">
        <f>IFERROR(D7 + D8 - 1,"-")</f>
        <v>25</v>
      </c>
    </row>
    <row r="10" spans="2:4" x14ac:dyDescent="0.25">
      <c r="B10" s="17" t="s">
        <v>37</v>
      </c>
      <c r="C10" s="17"/>
      <c r="D10" s="13">
        <f ca="1">IFERROR(INDIRECT("Лист1!"&amp;"C"&amp;D9),"-")</f>
        <v>44166</v>
      </c>
    </row>
    <row r="11" spans="2:4" x14ac:dyDescent="0.25">
      <c r="B11" s="17" t="s">
        <v>39</v>
      </c>
      <c r="C11" s="17"/>
      <c r="D11" s="12">
        <f ca="1">IFERROR(MATCH(D4,Лист1!$C$5:$C$1000,0),"Дата конца не найдена")</f>
        <v>37</v>
      </c>
    </row>
    <row r="12" spans="2:4" x14ac:dyDescent="0.25">
      <c r="B12" s="17" t="s">
        <v>36</v>
      </c>
      <c r="C12" s="17"/>
      <c r="D12" s="14">
        <f ca="1">IFERROR(D7 + D11 - 1,"-")</f>
        <v>41</v>
      </c>
    </row>
    <row r="13" spans="2:4" x14ac:dyDescent="0.25">
      <c r="B13" s="17" t="s">
        <v>37</v>
      </c>
      <c r="C13" s="17"/>
      <c r="D13" s="13">
        <f ca="1">IFERROR(INDIRECT("Лист1!"&amp;"C"&amp;D12),"-")</f>
        <v>44188</v>
      </c>
    </row>
    <row r="14" spans="2:4" ht="15" customHeight="1" x14ac:dyDescent="0.25">
      <c r="B14" s="17" t="s">
        <v>42</v>
      </c>
      <c r="C14" s="17"/>
      <c r="D14" s="12" t="str">
        <f>IFERROR(SUBSTITUTE(ADDRESS(1,MATCH(D2,Лист1!$A$4:$ZZ$4,0),4),"1",""),"Тикер не найден")</f>
        <v>D</v>
      </c>
    </row>
    <row r="15" spans="2:4" ht="15" customHeight="1" x14ac:dyDescent="0.25">
      <c r="B15" s="17" t="s">
        <v>38</v>
      </c>
      <c r="C15" s="17"/>
      <c r="D15" s="12"/>
    </row>
    <row r="16" spans="2:4" x14ac:dyDescent="0.25">
      <c r="B16" s="11">
        <f ca="1">IF(D$9 + ROW($ZK1)-1 &lt;= D$12,D$9 + ROW($ZK1)-1,"-")</f>
        <v>25</v>
      </c>
      <c r="C16" s="1">
        <f t="shared" ref="C16:C35" ca="1" si="0">IFERROR(INDIRECT("Лист1!C"&amp;B16),"-")</f>
        <v>44166</v>
      </c>
      <c r="D16" s="21">
        <f ca="1">IFERROR(INDIRECT("Лист1!"&amp;D$14  &amp;B16),"-")</f>
        <v>259.76</v>
      </c>
    </row>
    <row r="17" spans="2:4" x14ac:dyDescent="0.25">
      <c r="B17" s="11">
        <f ca="1">IF(D$9 + ROW($ZK2)-1 &lt;= D$12,D$9 + ROW($ZK2)-1,"-")</f>
        <v>26</v>
      </c>
      <c r="C17" s="1">
        <f t="shared" ca="1" si="0"/>
        <v>44167</v>
      </c>
      <c r="D17" s="21">
        <f t="shared" ref="D17:D34" ca="1" si="1">IFERROR(INDIRECT("Лист1!"&amp;D$14  &amp;B17),"-")</f>
        <v>264.99</v>
      </c>
    </row>
    <row r="18" spans="2:4" x14ac:dyDescent="0.25">
      <c r="B18" s="11">
        <f ca="1">IF(D$9 + ROW($ZK3)-1 &lt;= D$12,D$9 + ROW($ZK3)-1,"-")</f>
        <v>27</v>
      </c>
      <c r="C18" s="1">
        <f t="shared" ca="1" si="0"/>
        <v>44168</v>
      </c>
      <c r="D18" s="21">
        <f t="shared" ca="1" si="1"/>
        <v>263.94</v>
      </c>
    </row>
    <row r="19" spans="2:4" x14ac:dyDescent="0.25">
      <c r="B19" s="11">
        <f ca="1">IF(D$9 + ROW($ZK4)-1 &lt;= D$12,D$9 + ROW($ZK4)-1,"-")</f>
        <v>28</v>
      </c>
      <c r="C19" s="1">
        <f t="shared" ca="1" si="0"/>
        <v>44169</v>
      </c>
      <c r="D19" s="21">
        <f t="shared" ca="1" si="1"/>
        <v>269.20999999999998</v>
      </c>
    </row>
    <row r="20" spans="2:4" x14ac:dyDescent="0.25">
      <c r="B20" s="11">
        <f ca="1">IF(D$9 + ROW($ZK5)-1 &lt;= D$12,D$9 + ROW($ZK5)-1,"-")</f>
        <v>29</v>
      </c>
      <c r="C20" s="1">
        <f t="shared" ca="1" si="0"/>
        <v>44172</v>
      </c>
      <c r="D20" s="21">
        <f t="shared" ca="1" si="1"/>
        <v>275.8</v>
      </c>
    </row>
    <row r="21" spans="2:4" x14ac:dyDescent="0.25">
      <c r="B21" s="11">
        <f ca="1">IF(D$9 + ROW($ZK6)-1 &lt;= D$12,D$9 + ROW($ZK6)-1,"-")</f>
        <v>30</v>
      </c>
      <c r="C21" s="1">
        <f t="shared" ca="1" si="0"/>
        <v>44173</v>
      </c>
      <c r="D21" s="21">
        <f t="shared" ca="1" si="1"/>
        <v>275.5</v>
      </c>
    </row>
    <row r="22" spans="2:4" x14ac:dyDescent="0.25">
      <c r="B22" s="11">
        <f ca="1">IF(D$9 + ROW($ZK7)-1 &lt;= D$12,D$9 + ROW($ZK7)-1,"-")</f>
        <v>31</v>
      </c>
      <c r="C22" s="1">
        <f t="shared" ca="1" si="0"/>
        <v>44174</v>
      </c>
      <c r="D22" s="21">
        <f t="shared" ca="1" si="1"/>
        <v>278.48</v>
      </c>
    </row>
    <row r="23" spans="2:4" x14ac:dyDescent="0.25">
      <c r="B23" s="11">
        <f ca="1">IF(D$9 + ROW($ZK8)-1 &lt;= D$12,D$9 + ROW($ZK8)-1,"-")</f>
        <v>32</v>
      </c>
      <c r="C23" s="1">
        <f t="shared" ca="1" si="0"/>
        <v>44175</v>
      </c>
      <c r="D23" s="21">
        <f t="shared" ca="1" si="1"/>
        <v>281.81</v>
      </c>
    </row>
    <row r="24" spans="2:4" x14ac:dyDescent="0.25">
      <c r="B24" s="11">
        <f ca="1">IF(D$9 + ROW($ZK9)-1 &lt;= D$12,D$9 + ROW($ZK9)-1,"-")</f>
        <v>33</v>
      </c>
      <c r="C24" s="1">
        <f t="shared" ca="1" si="0"/>
        <v>44176</v>
      </c>
      <c r="D24" s="21">
        <f t="shared" ca="1" si="1"/>
        <v>283.67</v>
      </c>
    </row>
    <row r="25" spans="2:4" x14ac:dyDescent="0.25">
      <c r="B25" s="11">
        <f ca="1">IF(D$9 + ROW($ZK10)-1 &lt;= D$12,D$9 + ROW($ZK10)-1,"-")</f>
        <v>34</v>
      </c>
      <c r="C25" s="1">
        <f t="shared" ca="1" si="0"/>
        <v>44179</v>
      </c>
      <c r="D25" s="21">
        <f t="shared" ca="1" si="1"/>
        <v>279.04000000000002</v>
      </c>
    </row>
    <row r="26" spans="2:4" x14ac:dyDescent="0.25">
      <c r="B26" s="11">
        <f ca="1">IF(D$9 + ROW($ZK11)-1 &lt;= D$12,D$9 + ROW($ZK11)-1,"-")</f>
        <v>35</v>
      </c>
      <c r="C26" s="1">
        <f t="shared" ca="1" si="0"/>
        <v>44180</v>
      </c>
      <c r="D26" s="21">
        <f t="shared" ca="1" si="1"/>
        <v>276.47000000000003</v>
      </c>
    </row>
    <row r="27" spans="2:4" x14ac:dyDescent="0.25">
      <c r="B27" s="11">
        <f ca="1">IF(D$9 + ROW($ZK12)-1 &lt;= D$12,D$9 + ROW($ZK12)-1,"-")</f>
        <v>36</v>
      </c>
      <c r="C27" s="1">
        <f t="shared" ca="1" si="0"/>
        <v>44181</v>
      </c>
      <c r="D27" s="21">
        <f t="shared" ca="1" si="1"/>
        <v>278.35000000000002</v>
      </c>
    </row>
    <row r="28" spans="2:4" x14ac:dyDescent="0.25">
      <c r="B28" s="11">
        <f ca="1">IF(D$9 + ROW($ZK13)-1 &lt;= D$12,D$9 + ROW($ZK13)-1,"-")</f>
        <v>37</v>
      </c>
      <c r="C28" s="1">
        <f t="shared" ca="1" si="0"/>
        <v>44182</v>
      </c>
      <c r="D28" s="21">
        <f t="shared" ca="1" si="1"/>
        <v>278.16000000000003</v>
      </c>
    </row>
    <row r="29" spans="2:4" x14ac:dyDescent="0.25">
      <c r="B29" s="11">
        <f ca="1">IF(D$9 + ROW($ZK14)-1 &lt;= D$12,D$9 + ROW($ZK14)-1,"-")</f>
        <v>38</v>
      </c>
      <c r="C29" s="1">
        <f t="shared" ca="1" si="0"/>
        <v>44183</v>
      </c>
      <c r="D29" s="21">
        <f t="shared" ca="1" si="1"/>
        <v>271.14999999999998</v>
      </c>
    </row>
    <row r="30" spans="2:4" x14ac:dyDescent="0.25">
      <c r="B30" s="11">
        <f ca="1">IF(D$9 + ROW($ZK15)-1 &lt;= D$12,D$9 + ROW($ZK15)-1,"-")</f>
        <v>39</v>
      </c>
      <c r="C30" s="1">
        <f t="shared" ca="1" si="0"/>
        <v>44186</v>
      </c>
      <c r="D30" s="21">
        <f t="shared" ca="1" si="1"/>
        <v>259.89</v>
      </c>
    </row>
    <row r="31" spans="2:4" x14ac:dyDescent="0.25">
      <c r="B31" s="11">
        <f ca="1">IF(D$9 + ROW($ZK16)-1 &lt;= D$12,D$9 + ROW($ZK16)-1,"-")</f>
        <v>40</v>
      </c>
      <c r="C31" s="1">
        <f t="shared" ca="1" si="0"/>
        <v>44187</v>
      </c>
      <c r="D31" s="21">
        <f t="shared" ca="1" si="1"/>
        <v>262.92</v>
      </c>
    </row>
    <row r="32" spans="2:4" x14ac:dyDescent="0.25">
      <c r="B32" s="11">
        <f ca="1">IF(D$9 + ROW($ZK17)-1 &lt;= D$12,D$9 + ROW($ZK17)-1,"-")</f>
        <v>41</v>
      </c>
      <c r="C32" s="1">
        <f t="shared" ca="1" si="0"/>
        <v>44188</v>
      </c>
      <c r="D32" s="21">
        <f t="shared" ca="1" si="1"/>
        <v>0</v>
      </c>
    </row>
    <row r="33" spans="2:4" x14ac:dyDescent="0.25">
      <c r="B33" s="11" t="str">
        <f ca="1">IF(D$9 + ROW($ZK18)-1 &lt;= D$12,D$9 + ROW($ZK18)-1,"-")</f>
        <v>-</v>
      </c>
      <c r="C33" s="1" t="str">
        <f t="shared" ca="1" si="0"/>
        <v>-</v>
      </c>
      <c r="D33" s="21" t="str">
        <f t="shared" ca="1" si="1"/>
        <v>-</v>
      </c>
    </row>
    <row r="34" spans="2:4" x14ac:dyDescent="0.25">
      <c r="B34" s="11" t="str">
        <f ca="1">IF(D$9 + ROW($ZK19)-1 &lt;= D$12,D$9 + ROW($ZK19)-1,"-")</f>
        <v>-</v>
      </c>
      <c r="C34" s="1" t="str">
        <f t="shared" ca="1" si="0"/>
        <v>-</v>
      </c>
      <c r="D34" s="21" t="str">
        <f t="shared" ca="1" si="1"/>
        <v>-</v>
      </c>
    </row>
    <row r="35" spans="2:4" x14ac:dyDescent="0.25">
      <c r="B35" s="11" t="str">
        <f ca="1">IF(D$9 + ROW($ZK20)-1 &lt;= D$12,D$9 + ROW($ZK20)-1,"-")</f>
        <v>-</v>
      </c>
      <c r="C35" s="1" t="str">
        <f t="shared" ca="1" si="0"/>
        <v>-</v>
      </c>
    </row>
    <row r="36" spans="2:4" x14ac:dyDescent="0.25">
      <c r="B36" s="11" t="str">
        <f ca="1">IF(D$9 + ROW($ZK21)-1 &lt;= D$12,D$9 + ROW($ZK21)-1,"-")</f>
        <v>-</v>
      </c>
      <c r="C36" s="1" t="str">
        <f ca="1">IFERROR(INDIRECT("Лист1!C"&amp;B36),"-")</f>
        <v>-</v>
      </c>
    </row>
    <row r="37" spans="2:4" x14ac:dyDescent="0.25">
      <c r="B37" s="11" t="str">
        <f ca="1">IF(D$9 + ROW($ZK22)-1 &lt;= D$12,D$9 + ROW($ZK22)-1,"-")</f>
        <v>-</v>
      </c>
      <c r="C37" s="1" t="str">
        <f t="shared" ref="C37:C52" ca="1" si="2">IFERROR(INDIRECT("Лист1!C"&amp;B37),"-")</f>
        <v>-</v>
      </c>
    </row>
    <row r="38" spans="2:4" x14ac:dyDescent="0.25">
      <c r="B38" s="11" t="str">
        <f ca="1">IF(D$9 + ROW($ZK23)-1 &lt;= D$12,D$9 + ROW($ZK23)-1,"-")</f>
        <v>-</v>
      </c>
      <c r="C38" s="1" t="str">
        <f t="shared" ca="1" si="2"/>
        <v>-</v>
      </c>
    </row>
    <row r="39" spans="2:4" x14ac:dyDescent="0.25">
      <c r="B39" s="11" t="str">
        <f ca="1">IF(D$9 + ROW($ZK24)-1 &lt;= D$12,D$9 + ROW($ZK24)-1,"-")</f>
        <v>-</v>
      </c>
      <c r="C39" s="1" t="str">
        <f t="shared" ca="1" si="2"/>
        <v>-</v>
      </c>
    </row>
    <row r="40" spans="2:4" x14ac:dyDescent="0.25">
      <c r="B40" s="11" t="str">
        <f ca="1">IF(D$9 + ROW($ZK24)-1 &lt;= D$12,D$9 + ROW($ZK24)-1,"-")</f>
        <v>-</v>
      </c>
      <c r="C40" s="1" t="str">
        <f t="shared" ca="1" si="2"/>
        <v>-</v>
      </c>
    </row>
    <row r="41" spans="2:4" x14ac:dyDescent="0.25">
      <c r="B41" s="11" t="str">
        <f ca="1">IF(D$9 + ROW($ZK25)-1 &lt;= D$12,D$9 + ROW($ZK25)-1,"-")</f>
        <v>-</v>
      </c>
      <c r="C41" s="1" t="str">
        <f t="shared" ca="1" si="2"/>
        <v>-</v>
      </c>
    </row>
    <row r="42" spans="2:4" x14ac:dyDescent="0.25">
      <c r="B42" s="11" t="str">
        <f ca="1">IF(D$9 + ROW($ZK26)-1 &lt;= D$12,D$9 + ROW($ZK26)-1,"-")</f>
        <v>-</v>
      </c>
      <c r="C42" s="1" t="str">
        <f t="shared" ca="1" si="2"/>
        <v>-</v>
      </c>
    </row>
    <row r="43" spans="2:4" x14ac:dyDescent="0.25">
      <c r="B43" s="11" t="str">
        <f ca="1">IF(D$9 + ROW($ZK27)-1 &lt;= D$12,D$9 + ROW($ZK27)-1,"-")</f>
        <v>-</v>
      </c>
      <c r="C43" s="1" t="str">
        <f t="shared" ca="1" si="2"/>
        <v>-</v>
      </c>
    </row>
    <row r="44" spans="2:4" x14ac:dyDescent="0.25">
      <c r="B44" s="11" t="str">
        <f ca="1">IF(D$9 + ROW($ZK28)-1 &lt;= D$12,D$9 + ROW($ZK28)-1,"-")</f>
        <v>-</v>
      </c>
      <c r="C44" s="1" t="str">
        <f t="shared" ca="1" si="2"/>
        <v>-</v>
      </c>
    </row>
    <row r="45" spans="2:4" x14ac:dyDescent="0.25">
      <c r="B45" s="11" t="str">
        <f ca="1">IF(D$9 + ROW($ZK29)-1 &lt;= D$12,D$9 + ROW($ZK29)-1,"-")</f>
        <v>-</v>
      </c>
      <c r="C45" s="1" t="str">
        <f t="shared" ca="1" si="2"/>
        <v>-</v>
      </c>
    </row>
    <row r="46" spans="2:4" x14ac:dyDescent="0.25">
      <c r="B46" s="11" t="str">
        <f ca="1">IF(D$9 + ROW($ZK30)-1 &lt;= D$12,D$9 + ROW($ZK30)-1,"-")</f>
        <v>-</v>
      </c>
      <c r="C46" s="1" t="str">
        <f t="shared" ca="1" si="2"/>
        <v>-</v>
      </c>
    </row>
    <row r="47" spans="2:4" x14ac:dyDescent="0.25">
      <c r="B47" s="11" t="str">
        <f ca="1">IF(D$9 + ROW($ZK31)-1 &lt;= D$12,D$9 + ROW($ZK31)-1,"-")</f>
        <v>-</v>
      </c>
      <c r="C47" s="1" t="str">
        <f t="shared" ca="1" si="2"/>
        <v>-</v>
      </c>
    </row>
    <row r="48" spans="2:4" x14ac:dyDescent="0.25">
      <c r="B48" s="11" t="str">
        <f ca="1">IF(D$9 + ROW($ZK32)-1 &lt;= D$12,D$9 + ROW($ZK32)-1,"-")</f>
        <v>-</v>
      </c>
      <c r="C48" s="1" t="str">
        <f t="shared" ca="1" si="2"/>
        <v>-</v>
      </c>
    </row>
    <row r="49" spans="2:3" x14ac:dyDescent="0.25">
      <c r="B49" s="11" t="str">
        <f ca="1">IF(D$9 + ROW($ZK33)-1 &lt;= D$12,D$9 + ROW($ZK33)-1,"-")</f>
        <v>-</v>
      </c>
      <c r="C49" s="1" t="str">
        <f t="shared" ca="1" si="2"/>
        <v>-</v>
      </c>
    </row>
    <row r="50" spans="2:3" x14ac:dyDescent="0.25">
      <c r="B50" s="11" t="str">
        <f ca="1">IF(D$9 + ROW($ZK34)-1 &lt;= D$12,D$9 + ROW($ZK34)-1,"-")</f>
        <v>-</v>
      </c>
      <c r="C50" s="1" t="str">
        <f t="shared" ca="1" si="2"/>
        <v>-</v>
      </c>
    </row>
    <row r="51" spans="2:3" x14ac:dyDescent="0.25">
      <c r="B51" s="11" t="str">
        <f ca="1">IF(D$9 + ROW($ZK35)-1 &lt;= D$12,D$9 + ROW($ZK35)-1,"-")</f>
        <v>-</v>
      </c>
      <c r="C51" s="1" t="str">
        <f t="shared" ca="1" si="2"/>
        <v>-</v>
      </c>
    </row>
    <row r="52" spans="2:3" x14ac:dyDescent="0.25">
      <c r="B52" s="11" t="str">
        <f ca="1">IF(D$9 + ROW($ZK36)-1 &lt;= D$12,D$9 + ROW($ZK36)-1,"-")</f>
        <v>-</v>
      </c>
      <c r="C52" s="1" t="str">
        <f t="shared" ca="1" si="2"/>
        <v>-</v>
      </c>
    </row>
  </sheetData>
  <mergeCells count="14">
    <mergeCell ref="B14:C14"/>
    <mergeCell ref="B15:C15"/>
    <mergeCell ref="B7:C7"/>
    <mergeCell ref="B6:C6"/>
    <mergeCell ref="B8:C8"/>
    <mergeCell ref="B9:C9"/>
    <mergeCell ref="B10:C10"/>
    <mergeCell ref="B11:C11"/>
    <mergeCell ref="B12:C12"/>
    <mergeCell ref="B13:C13"/>
    <mergeCell ref="B2:C2"/>
    <mergeCell ref="B3:C3"/>
    <mergeCell ref="B4:C4"/>
    <mergeCell ref="B5:C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D103"/>
  <sheetViews>
    <sheetView workbookViewId="0">
      <selection activeCell="O23" sqref="O23"/>
    </sheetView>
  </sheetViews>
  <sheetFormatPr defaultRowHeight="15" x14ac:dyDescent="0.25"/>
  <cols>
    <col min="1" max="1" width="5.42578125" customWidth="1"/>
    <col min="2" max="2" width="5.28515625" customWidth="1"/>
    <col min="3" max="3" width="34.7109375" customWidth="1"/>
    <col min="4" max="4" width="16.85546875" bestFit="1" customWidth="1"/>
  </cols>
  <sheetData>
    <row r="2" spans="2:4" x14ac:dyDescent="0.25">
      <c r="B2" s="15" t="s">
        <v>31</v>
      </c>
      <c r="C2" s="16"/>
      <c r="D2" s="8" t="s">
        <v>6</v>
      </c>
    </row>
    <row r="3" spans="2:4" ht="15" customHeight="1" x14ac:dyDescent="0.25">
      <c r="B3" s="15" t="s">
        <v>32</v>
      </c>
      <c r="C3" s="16"/>
      <c r="D3" s="10">
        <v>44175</v>
      </c>
    </row>
    <row r="4" spans="2:4" ht="15" customHeight="1" x14ac:dyDescent="0.25">
      <c r="B4" s="15" t="s">
        <v>33</v>
      </c>
      <c r="C4" s="16"/>
      <c r="D4" s="10">
        <f ca="1">TODAY()</f>
        <v>44188</v>
      </c>
    </row>
    <row r="5" spans="2:4" x14ac:dyDescent="0.25">
      <c r="B5" s="18" t="s">
        <v>34</v>
      </c>
      <c r="C5" s="19"/>
      <c r="D5" s="12"/>
    </row>
    <row r="6" spans="2:4" x14ac:dyDescent="0.25">
      <c r="B6" s="17" t="s">
        <v>41</v>
      </c>
      <c r="C6" s="17"/>
      <c r="D6" s="14">
        <f>COLUMN(Лист1!$C$5)</f>
        <v>3</v>
      </c>
    </row>
    <row r="7" spans="2:4" x14ac:dyDescent="0.25">
      <c r="B7" s="17" t="s">
        <v>35</v>
      </c>
      <c r="C7" s="17"/>
      <c r="D7" s="14">
        <f>ROW(Лист1!$C$5)</f>
        <v>5</v>
      </c>
    </row>
    <row r="8" spans="2:4" x14ac:dyDescent="0.25">
      <c r="B8" s="17" t="s">
        <v>40</v>
      </c>
      <c r="C8" s="17"/>
      <c r="D8" s="12">
        <f>IFERROR(MATCH(D3,Лист1!$C$5:$C$1000,0),"Дата начала не найдена")</f>
        <v>28</v>
      </c>
    </row>
    <row r="9" spans="2:4" x14ac:dyDescent="0.25">
      <c r="B9" s="17" t="s">
        <v>36</v>
      </c>
      <c r="C9" s="17"/>
      <c r="D9" s="20">
        <f>IFERROR(D7 + D8 - 1,"-")</f>
        <v>32</v>
      </c>
    </row>
    <row r="10" spans="2:4" x14ac:dyDescent="0.25">
      <c r="B10" s="17" t="s">
        <v>37</v>
      </c>
      <c r="C10" s="17"/>
      <c r="D10" s="13">
        <f ca="1">IFERROR(INDIRECT("Лист1!"&amp;"C"&amp;D9),"-")</f>
        <v>44175</v>
      </c>
    </row>
    <row r="11" spans="2:4" x14ac:dyDescent="0.25">
      <c r="B11" s="17" t="s">
        <v>39</v>
      </c>
      <c r="C11" s="17"/>
      <c r="D11" s="12">
        <f ca="1">IFERROR(MATCH(D4,Лист1!$C$5:$C$1000,0),"Дата конца не найдена")</f>
        <v>37</v>
      </c>
    </row>
    <row r="12" spans="2:4" x14ac:dyDescent="0.25">
      <c r="B12" s="17" t="s">
        <v>36</v>
      </c>
      <c r="C12" s="17"/>
      <c r="D12" s="14">
        <f ca="1">IFERROR(D7 + D11 - 1,"-")</f>
        <v>41</v>
      </c>
    </row>
    <row r="13" spans="2:4" x14ac:dyDescent="0.25">
      <c r="B13" s="17" t="s">
        <v>37</v>
      </c>
      <c r="C13" s="17"/>
      <c r="D13" s="13">
        <f ca="1">IFERROR(INDIRECT("Лист1!"&amp;"C"&amp;D12),"-")</f>
        <v>44188</v>
      </c>
    </row>
    <row r="14" spans="2:4" ht="15" customHeight="1" x14ac:dyDescent="0.25">
      <c r="B14" s="17" t="s">
        <v>42</v>
      </c>
      <c r="C14" s="17"/>
      <c r="D14" s="12" t="str">
        <f>IFERROR(SUBSTITUTE(ADDRESS(1,MATCH(D2,Лист1!$A$4:$ZZ$4,0),4),"1",""),"Тикер не найден")</f>
        <v>E</v>
      </c>
    </row>
    <row r="15" spans="2:4" ht="15" customHeight="1" x14ac:dyDescent="0.25">
      <c r="B15" s="17" t="s">
        <v>38</v>
      </c>
      <c r="C15" s="17"/>
      <c r="D15" s="12"/>
    </row>
    <row r="16" spans="2:4" x14ac:dyDescent="0.25">
      <c r="B16" s="11">
        <f ca="1">IF(D$9 + ROW($ZK1)-1 &lt;= D$12,D$9 + ROW($ZK1)-1,"-")</f>
        <v>32</v>
      </c>
      <c r="C16" s="1">
        <f t="shared" ref="C16:C35" ca="1" si="0">IFERROR(INDIRECT("Лист1!C"&amp;B16),"-")</f>
        <v>44175</v>
      </c>
      <c r="D16" s="21">
        <f ca="1">IFERROR(INDIRECT("Лист1!"&amp;D$14  &amp;B16),"-")</f>
        <v>193.3</v>
      </c>
    </row>
    <row r="17" spans="2:4" x14ac:dyDescent="0.25">
      <c r="B17" s="11">
        <f ca="1">IF(D$9 + ROW($ZK2)-1 &lt;= D$12,D$9 + ROW($ZK2)-1,"-")</f>
        <v>33</v>
      </c>
      <c r="C17" s="1">
        <f t="shared" ca="1" si="0"/>
        <v>44176</v>
      </c>
      <c r="D17" s="21">
        <f t="shared" ref="D17:D52" ca="1" si="1">IFERROR(INDIRECT("Лист1!"&amp;D$14  &amp;B17),"-")</f>
        <v>200.01</v>
      </c>
    </row>
    <row r="18" spans="2:4" x14ac:dyDescent="0.25">
      <c r="B18" s="11">
        <f ca="1">IF(D$9 + ROW($ZK3)-1 &lt;= D$12,D$9 + ROW($ZK3)-1,"-")</f>
        <v>34</v>
      </c>
      <c r="C18" s="1">
        <f t="shared" ca="1" si="0"/>
        <v>44179</v>
      </c>
      <c r="D18" s="21">
        <f t="shared" ca="1" si="1"/>
        <v>199.6</v>
      </c>
    </row>
    <row r="19" spans="2:4" x14ac:dyDescent="0.25">
      <c r="B19" s="11">
        <f ca="1">IF(D$9 + ROW($ZK4)-1 &lt;= D$12,D$9 + ROW($ZK4)-1,"-")</f>
        <v>35</v>
      </c>
      <c r="C19" s="1">
        <f t="shared" ca="1" si="0"/>
        <v>44180</v>
      </c>
      <c r="D19" s="21">
        <f t="shared" ca="1" si="1"/>
        <v>199.22</v>
      </c>
    </row>
    <row r="20" spans="2:4" x14ac:dyDescent="0.25">
      <c r="B20" s="11">
        <f ca="1">IF(D$9 + ROW($ZK5)-1 &lt;= D$12,D$9 + ROW($ZK5)-1,"-")</f>
        <v>36</v>
      </c>
      <c r="C20" s="1">
        <f t="shared" ca="1" si="0"/>
        <v>44181</v>
      </c>
      <c r="D20" s="21">
        <f t="shared" ca="1" si="1"/>
        <v>206</v>
      </c>
    </row>
    <row r="21" spans="2:4" x14ac:dyDescent="0.25">
      <c r="B21" s="11">
        <f ca="1">IF(D$9 + ROW($ZK6)-1 &lt;= D$12,D$9 + ROW($ZK6)-1,"-")</f>
        <v>37</v>
      </c>
      <c r="C21" s="1">
        <f t="shared" ca="1" si="0"/>
        <v>44182</v>
      </c>
      <c r="D21" s="21">
        <f t="shared" ca="1" si="1"/>
        <v>213.81</v>
      </c>
    </row>
    <row r="22" spans="2:4" x14ac:dyDescent="0.25">
      <c r="B22" s="11">
        <f ca="1">IF(D$9 + ROW($ZK7)-1 &lt;= D$12,D$9 + ROW($ZK7)-1,"-")</f>
        <v>38</v>
      </c>
      <c r="C22" s="1">
        <f t="shared" ca="1" si="0"/>
        <v>44183</v>
      </c>
      <c r="D22" s="21">
        <f t="shared" ca="1" si="1"/>
        <v>214.28</v>
      </c>
    </row>
    <row r="23" spans="2:4" x14ac:dyDescent="0.25">
      <c r="B23" s="11">
        <f ca="1">IF(D$9 + ROW($ZK8)-1 &lt;= D$12,D$9 + ROW($ZK8)-1,"-")</f>
        <v>39</v>
      </c>
      <c r="C23" s="1">
        <f t="shared" ca="1" si="0"/>
        <v>44186</v>
      </c>
      <c r="D23" s="21">
        <f t="shared" ca="1" si="1"/>
        <v>202.6</v>
      </c>
    </row>
    <row r="24" spans="2:4" x14ac:dyDescent="0.25">
      <c r="B24" s="11">
        <f ca="1">IF(D$9 + ROW($ZK9)-1 &lt;= D$12,D$9 + ROW($ZK9)-1,"-")</f>
        <v>40</v>
      </c>
      <c r="C24" s="1">
        <f t="shared" ca="1" si="0"/>
        <v>44187</v>
      </c>
      <c r="D24" s="21">
        <f t="shared" ca="1" si="1"/>
        <v>209.86</v>
      </c>
    </row>
    <row r="25" spans="2:4" x14ac:dyDescent="0.25">
      <c r="B25" s="11">
        <f ca="1">IF(D$9 + ROW($ZK10)-1 &lt;= D$12,D$9 + ROW($ZK10)-1,"-")</f>
        <v>41</v>
      </c>
      <c r="C25" s="1">
        <f t="shared" ca="1" si="0"/>
        <v>44188</v>
      </c>
      <c r="D25" s="21">
        <f t="shared" ca="1" si="1"/>
        <v>0</v>
      </c>
    </row>
    <row r="26" spans="2:4" x14ac:dyDescent="0.25">
      <c r="B26" s="11" t="str">
        <f ca="1">IF(D$9 + ROW($ZK11)-1 &lt;= D$12,D$9 + ROW($ZK11)-1,"-")</f>
        <v>-</v>
      </c>
      <c r="C26" s="1" t="str">
        <f t="shared" ca="1" si="0"/>
        <v>-</v>
      </c>
      <c r="D26" s="21" t="str">
        <f t="shared" ca="1" si="1"/>
        <v>-</v>
      </c>
    </row>
    <row r="27" spans="2:4" x14ac:dyDescent="0.25">
      <c r="B27" s="11" t="str">
        <f ca="1">IF(D$9 + ROW($ZK12)-1 &lt;= D$12,D$9 + ROW($ZK12)-1,"-")</f>
        <v>-</v>
      </c>
      <c r="C27" s="1" t="str">
        <f t="shared" ca="1" si="0"/>
        <v>-</v>
      </c>
      <c r="D27" s="21" t="str">
        <f t="shared" ca="1" si="1"/>
        <v>-</v>
      </c>
    </row>
    <row r="28" spans="2:4" x14ac:dyDescent="0.25">
      <c r="B28" s="11" t="str">
        <f ca="1">IF(D$9 + ROW($ZK13)-1 &lt;= D$12,D$9 + ROW($ZK13)-1,"-")</f>
        <v>-</v>
      </c>
      <c r="C28" s="1" t="str">
        <f t="shared" ca="1" si="0"/>
        <v>-</v>
      </c>
      <c r="D28" s="21" t="str">
        <f t="shared" ca="1" si="1"/>
        <v>-</v>
      </c>
    </row>
    <row r="29" spans="2:4" x14ac:dyDescent="0.25">
      <c r="B29" s="11" t="str">
        <f ca="1">IF(D$9 + ROW($ZK14)-1 &lt;= D$12,D$9 + ROW($ZK14)-1,"-")</f>
        <v>-</v>
      </c>
      <c r="C29" s="1" t="str">
        <f t="shared" ca="1" si="0"/>
        <v>-</v>
      </c>
      <c r="D29" s="21" t="str">
        <f t="shared" ca="1" si="1"/>
        <v>-</v>
      </c>
    </row>
    <row r="30" spans="2:4" x14ac:dyDescent="0.25">
      <c r="B30" s="11" t="str">
        <f ca="1">IF(D$9 + ROW($ZK15)-1 &lt;= D$12,D$9 + ROW($ZK15)-1,"-")</f>
        <v>-</v>
      </c>
      <c r="C30" s="1" t="str">
        <f t="shared" ca="1" si="0"/>
        <v>-</v>
      </c>
      <c r="D30" s="21" t="str">
        <f t="shared" ca="1" si="1"/>
        <v>-</v>
      </c>
    </row>
    <row r="31" spans="2:4" x14ac:dyDescent="0.25">
      <c r="B31" s="11" t="str">
        <f ca="1">IF(D$9 + ROW($ZK16)-1 &lt;= D$12,D$9 + ROW($ZK16)-1,"-")</f>
        <v>-</v>
      </c>
      <c r="C31" s="1" t="str">
        <f t="shared" ca="1" si="0"/>
        <v>-</v>
      </c>
      <c r="D31" s="21" t="str">
        <f t="shared" ca="1" si="1"/>
        <v>-</v>
      </c>
    </row>
    <row r="32" spans="2:4" x14ac:dyDescent="0.25">
      <c r="B32" s="11" t="str">
        <f ca="1">IF(D$9 + ROW($ZK17)-1 &lt;= D$12,D$9 + ROW($ZK17)-1,"-")</f>
        <v>-</v>
      </c>
      <c r="C32" s="1" t="str">
        <f t="shared" ca="1" si="0"/>
        <v>-</v>
      </c>
      <c r="D32" s="21" t="str">
        <f t="shared" ca="1" si="1"/>
        <v>-</v>
      </c>
    </row>
    <row r="33" spans="2:4" x14ac:dyDescent="0.25">
      <c r="B33" s="11" t="str">
        <f ca="1">IF(D$9 + ROW($ZK18)-1 &lt;= D$12,D$9 + ROW($ZK18)-1,"-")</f>
        <v>-</v>
      </c>
      <c r="C33" s="1" t="str">
        <f t="shared" ca="1" si="0"/>
        <v>-</v>
      </c>
      <c r="D33" s="21" t="str">
        <f t="shared" ca="1" si="1"/>
        <v>-</v>
      </c>
    </row>
    <row r="34" spans="2:4" x14ac:dyDescent="0.25">
      <c r="B34" s="11" t="str">
        <f ca="1">IF(D$9 + ROW($ZK19)-1 &lt;= D$12,D$9 + ROW($ZK19)-1,"-")</f>
        <v>-</v>
      </c>
      <c r="C34" s="1" t="str">
        <f t="shared" ca="1" si="0"/>
        <v>-</v>
      </c>
      <c r="D34" s="21" t="str">
        <f t="shared" ca="1" si="1"/>
        <v>-</v>
      </c>
    </row>
    <row r="35" spans="2:4" x14ac:dyDescent="0.25">
      <c r="B35" s="11" t="str">
        <f ca="1">IF(D$9 + ROW($ZK20)-1 &lt;= D$12,D$9 + ROW($ZK20)-1,"-")</f>
        <v>-</v>
      </c>
      <c r="C35" s="1" t="str">
        <f t="shared" ca="1" si="0"/>
        <v>-</v>
      </c>
      <c r="D35" s="21" t="str">
        <f t="shared" ca="1" si="1"/>
        <v>-</v>
      </c>
    </row>
    <row r="36" spans="2:4" x14ac:dyDescent="0.25">
      <c r="B36" s="11" t="str">
        <f ca="1">IF(D$9 + ROW($ZK21)-1 &lt;= D$12,D$9 + ROW($ZK21)-1,"-")</f>
        <v>-</v>
      </c>
      <c r="C36" s="1" t="str">
        <f ca="1">IFERROR(INDIRECT("Лист1!C"&amp;B36),"-")</f>
        <v>-</v>
      </c>
      <c r="D36" s="21" t="str">
        <f t="shared" ca="1" si="1"/>
        <v>-</v>
      </c>
    </row>
    <row r="37" spans="2:4" x14ac:dyDescent="0.25">
      <c r="B37" s="11" t="str">
        <f ca="1">IF(D$9 + ROW($ZK22)-1 &lt;= D$12,D$9 + ROW($ZK22)-1,"-")</f>
        <v>-</v>
      </c>
      <c r="C37" s="1" t="str">
        <f t="shared" ref="C37:C100" ca="1" si="2">IFERROR(INDIRECT("Лист1!C"&amp;B37),"-")</f>
        <v>-</v>
      </c>
      <c r="D37" s="21" t="str">
        <f t="shared" ca="1" si="1"/>
        <v>-</v>
      </c>
    </row>
    <row r="38" spans="2:4" x14ac:dyDescent="0.25">
      <c r="B38" s="11" t="str">
        <f ca="1">IF(D$9 + ROW($ZK23)-1 &lt;= D$12,D$9 + ROW($ZK23)-1,"-")</f>
        <v>-</v>
      </c>
      <c r="C38" s="1" t="str">
        <f t="shared" ca="1" si="2"/>
        <v>-</v>
      </c>
      <c r="D38" s="21" t="str">
        <f t="shared" ca="1" si="1"/>
        <v>-</v>
      </c>
    </row>
    <row r="39" spans="2:4" x14ac:dyDescent="0.25">
      <c r="B39" s="11" t="str">
        <f ca="1">IF(D$9 + ROW($ZK24)-1 &lt;= D$12,D$9 + ROW($ZK24)-1,"-")</f>
        <v>-</v>
      </c>
      <c r="C39" s="1" t="str">
        <f t="shared" ca="1" si="2"/>
        <v>-</v>
      </c>
      <c r="D39" s="21" t="str">
        <f t="shared" ca="1" si="1"/>
        <v>-</v>
      </c>
    </row>
    <row r="40" spans="2:4" x14ac:dyDescent="0.25">
      <c r="B40" s="11" t="str">
        <f ca="1">IF(D$9 + ROW($ZK24)-1 &lt;= D$12,D$9 + ROW($ZK24)-1,"-")</f>
        <v>-</v>
      </c>
      <c r="C40" s="1" t="str">
        <f t="shared" ca="1" si="2"/>
        <v>-</v>
      </c>
      <c r="D40" s="21" t="str">
        <f t="shared" ca="1" si="1"/>
        <v>-</v>
      </c>
    </row>
    <row r="41" spans="2:4" x14ac:dyDescent="0.25">
      <c r="B41" s="11" t="str">
        <f ca="1">IF(D$9 + ROW($ZK25)-1 &lt;= D$12,D$9 + ROW($ZK25)-1,"-")</f>
        <v>-</v>
      </c>
      <c r="C41" s="1" t="str">
        <f t="shared" ca="1" si="2"/>
        <v>-</v>
      </c>
      <c r="D41" s="21" t="str">
        <f t="shared" ca="1" si="1"/>
        <v>-</v>
      </c>
    </row>
    <row r="42" spans="2:4" x14ac:dyDescent="0.25">
      <c r="B42" s="11" t="str">
        <f ca="1">IF(D$9 + ROW($ZK26)-1 &lt;= D$12,D$9 + ROW($ZK26)-1,"-")</f>
        <v>-</v>
      </c>
      <c r="C42" s="1" t="str">
        <f t="shared" ca="1" si="2"/>
        <v>-</v>
      </c>
      <c r="D42" s="21" t="str">
        <f t="shared" ca="1" si="1"/>
        <v>-</v>
      </c>
    </row>
    <row r="43" spans="2:4" x14ac:dyDescent="0.25">
      <c r="B43" s="11" t="str">
        <f ca="1">IF(D$9 + ROW($ZK27)-1 &lt;= D$12,D$9 + ROW($ZK27)-1,"-")</f>
        <v>-</v>
      </c>
      <c r="C43" s="1" t="str">
        <f t="shared" ca="1" si="2"/>
        <v>-</v>
      </c>
      <c r="D43" s="21" t="str">
        <f t="shared" ca="1" si="1"/>
        <v>-</v>
      </c>
    </row>
    <row r="44" spans="2:4" x14ac:dyDescent="0.25">
      <c r="B44" s="11" t="str">
        <f ca="1">IF(D$9 + ROW($ZK28)-1 &lt;= D$12,D$9 + ROW($ZK28)-1,"-")</f>
        <v>-</v>
      </c>
      <c r="C44" s="1" t="str">
        <f t="shared" ca="1" si="2"/>
        <v>-</v>
      </c>
      <c r="D44" s="21" t="str">
        <f t="shared" ca="1" si="1"/>
        <v>-</v>
      </c>
    </row>
    <row r="45" spans="2:4" x14ac:dyDescent="0.25">
      <c r="B45" s="11" t="str">
        <f ca="1">IF(D$9 + ROW($ZK29)-1 &lt;= D$12,D$9 + ROW($ZK29)-1,"-")</f>
        <v>-</v>
      </c>
      <c r="C45" s="1" t="str">
        <f t="shared" ca="1" si="2"/>
        <v>-</v>
      </c>
      <c r="D45" s="21" t="str">
        <f t="shared" ca="1" si="1"/>
        <v>-</v>
      </c>
    </row>
    <row r="46" spans="2:4" x14ac:dyDescent="0.25">
      <c r="B46" s="11" t="str">
        <f ca="1">IF(D$9 + ROW($ZK30)-1 &lt;= D$12,D$9 + ROW($ZK30)-1,"-")</f>
        <v>-</v>
      </c>
      <c r="C46" s="1" t="str">
        <f t="shared" ca="1" si="2"/>
        <v>-</v>
      </c>
      <c r="D46" s="21" t="str">
        <f t="shared" ca="1" si="1"/>
        <v>-</v>
      </c>
    </row>
    <row r="47" spans="2:4" x14ac:dyDescent="0.25">
      <c r="B47" s="11" t="str">
        <f ca="1">IF(D$9 + ROW($ZK31)-1 &lt;= D$12,D$9 + ROW($ZK31)-1,"-")</f>
        <v>-</v>
      </c>
      <c r="C47" s="1" t="str">
        <f t="shared" ca="1" si="2"/>
        <v>-</v>
      </c>
      <c r="D47" s="21" t="str">
        <f t="shared" ca="1" si="1"/>
        <v>-</v>
      </c>
    </row>
    <row r="48" spans="2:4" x14ac:dyDescent="0.25">
      <c r="B48" s="11" t="str">
        <f ca="1">IF(D$9 + ROW($ZK32)-1 &lt;= D$12,D$9 + ROW($ZK32)-1,"-")</f>
        <v>-</v>
      </c>
      <c r="C48" s="1" t="str">
        <f t="shared" ca="1" si="2"/>
        <v>-</v>
      </c>
      <c r="D48" s="21" t="str">
        <f t="shared" ca="1" si="1"/>
        <v>-</v>
      </c>
    </row>
    <row r="49" spans="2:4" x14ac:dyDescent="0.25">
      <c r="B49" s="11" t="str">
        <f ca="1">IF(D$9 + ROW($ZK33)-1 &lt;= D$12,D$9 + ROW($ZK33)-1,"-")</f>
        <v>-</v>
      </c>
      <c r="C49" s="1" t="str">
        <f t="shared" ca="1" si="2"/>
        <v>-</v>
      </c>
      <c r="D49" s="21" t="str">
        <f t="shared" ca="1" si="1"/>
        <v>-</v>
      </c>
    </row>
    <row r="50" spans="2:4" x14ac:dyDescent="0.25">
      <c r="B50" s="11" t="str">
        <f ca="1">IF(D$9 + ROW($ZK34)-1 &lt;= D$12,D$9 + ROW($ZK34)-1,"-")</f>
        <v>-</v>
      </c>
      <c r="C50" s="1" t="str">
        <f t="shared" ca="1" si="2"/>
        <v>-</v>
      </c>
      <c r="D50" s="21" t="str">
        <f t="shared" ca="1" si="1"/>
        <v>-</v>
      </c>
    </row>
    <row r="51" spans="2:4" x14ac:dyDescent="0.25">
      <c r="B51" s="11" t="str">
        <f ca="1">IF(D$9 + ROW($ZK35)-1 &lt;= D$12,D$9 + ROW($ZK35)-1,"-")</f>
        <v>-</v>
      </c>
      <c r="C51" s="1" t="str">
        <f t="shared" ca="1" si="2"/>
        <v>-</v>
      </c>
      <c r="D51" s="21" t="str">
        <f t="shared" ca="1" si="1"/>
        <v>-</v>
      </c>
    </row>
    <row r="52" spans="2:4" x14ac:dyDescent="0.25">
      <c r="B52" s="11" t="str">
        <f ca="1">IF(D$9 + ROW($ZK36)-1 &lt;= D$12,D$9 + ROW($ZK36)-1,"-")</f>
        <v>-</v>
      </c>
      <c r="C52" s="1" t="str">
        <f t="shared" ca="1" si="2"/>
        <v>-</v>
      </c>
      <c r="D52" s="21" t="str">
        <f t="shared" ca="1" si="1"/>
        <v>-</v>
      </c>
    </row>
    <row r="53" spans="2:4" x14ac:dyDescent="0.25">
      <c r="B53" s="11" t="str">
        <f t="shared" ref="B53:B103" ca="1" si="3">IF(D$9 + ROW($ZK37)-1 &lt;= D$12,D$9 + ROW($ZK37)-1,"-")</f>
        <v>-</v>
      </c>
      <c r="C53" s="1" t="str">
        <f t="shared" ca="1" si="2"/>
        <v>-</v>
      </c>
      <c r="D53" s="21" t="str">
        <f t="shared" ref="D53:D103" ca="1" si="4">IFERROR(INDIRECT("Лист1!"&amp;D$14  &amp;B53),"-")</f>
        <v>-</v>
      </c>
    </row>
    <row r="54" spans="2:4" x14ac:dyDescent="0.25">
      <c r="B54" s="11" t="str">
        <f t="shared" ca="1" si="3"/>
        <v>-</v>
      </c>
      <c r="C54" s="1" t="str">
        <f t="shared" ca="1" si="2"/>
        <v>-</v>
      </c>
      <c r="D54" s="21" t="str">
        <f t="shared" ca="1" si="4"/>
        <v>-</v>
      </c>
    </row>
    <row r="55" spans="2:4" x14ac:dyDescent="0.25">
      <c r="B55" s="11" t="str">
        <f t="shared" ca="1" si="3"/>
        <v>-</v>
      </c>
      <c r="C55" s="1" t="str">
        <f t="shared" ca="1" si="2"/>
        <v>-</v>
      </c>
      <c r="D55" s="21" t="str">
        <f t="shared" ca="1" si="4"/>
        <v>-</v>
      </c>
    </row>
    <row r="56" spans="2:4" x14ac:dyDescent="0.25">
      <c r="B56" s="11" t="str">
        <f t="shared" ca="1" si="3"/>
        <v>-</v>
      </c>
      <c r="C56" s="1" t="str">
        <f t="shared" ca="1" si="2"/>
        <v>-</v>
      </c>
      <c r="D56" s="21" t="str">
        <f t="shared" ca="1" si="4"/>
        <v>-</v>
      </c>
    </row>
    <row r="57" spans="2:4" x14ac:dyDescent="0.25">
      <c r="B57" s="11" t="str">
        <f t="shared" ca="1" si="3"/>
        <v>-</v>
      </c>
      <c r="C57" s="1" t="str">
        <f t="shared" ca="1" si="2"/>
        <v>-</v>
      </c>
      <c r="D57" s="21" t="str">
        <f t="shared" ca="1" si="4"/>
        <v>-</v>
      </c>
    </row>
    <row r="58" spans="2:4" x14ac:dyDescent="0.25">
      <c r="B58" s="11" t="str">
        <f t="shared" ca="1" si="3"/>
        <v>-</v>
      </c>
      <c r="C58" s="1" t="str">
        <f t="shared" ca="1" si="2"/>
        <v>-</v>
      </c>
      <c r="D58" s="21" t="str">
        <f t="shared" ca="1" si="4"/>
        <v>-</v>
      </c>
    </row>
    <row r="59" spans="2:4" x14ac:dyDescent="0.25">
      <c r="B59" s="11" t="str">
        <f t="shared" ca="1" si="3"/>
        <v>-</v>
      </c>
      <c r="C59" s="1" t="str">
        <f t="shared" ca="1" si="2"/>
        <v>-</v>
      </c>
      <c r="D59" s="21" t="str">
        <f t="shared" ca="1" si="4"/>
        <v>-</v>
      </c>
    </row>
    <row r="60" spans="2:4" x14ac:dyDescent="0.25">
      <c r="B60" s="11" t="str">
        <f t="shared" ca="1" si="3"/>
        <v>-</v>
      </c>
      <c r="C60" s="1" t="str">
        <f t="shared" ca="1" si="2"/>
        <v>-</v>
      </c>
      <c r="D60" s="21" t="str">
        <f t="shared" ca="1" si="4"/>
        <v>-</v>
      </c>
    </row>
    <row r="61" spans="2:4" x14ac:dyDescent="0.25">
      <c r="B61" s="11" t="str">
        <f t="shared" ca="1" si="3"/>
        <v>-</v>
      </c>
      <c r="C61" s="1" t="str">
        <f t="shared" ca="1" si="2"/>
        <v>-</v>
      </c>
      <c r="D61" s="21" t="str">
        <f t="shared" ca="1" si="4"/>
        <v>-</v>
      </c>
    </row>
    <row r="62" spans="2:4" x14ac:dyDescent="0.25">
      <c r="B62" s="11" t="str">
        <f t="shared" ca="1" si="3"/>
        <v>-</v>
      </c>
      <c r="C62" s="1" t="str">
        <f t="shared" ca="1" si="2"/>
        <v>-</v>
      </c>
      <c r="D62" s="21" t="str">
        <f t="shared" ca="1" si="4"/>
        <v>-</v>
      </c>
    </row>
    <row r="63" spans="2:4" x14ac:dyDescent="0.25">
      <c r="B63" s="11" t="str">
        <f t="shared" ca="1" si="3"/>
        <v>-</v>
      </c>
      <c r="C63" s="1" t="str">
        <f t="shared" ca="1" si="2"/>
        <v>-</v>
      </c>
      <c r="D63" s="21" t="str">
        <f t="shared" ca="1" si="4"/>
        <v>-</v>
      </c>
    </row>
    <row r="64" spans="2:4" x14ac:dyDescent="0.25">
      <c r="B64" s="11" t="str">
        <f t="shared" ca="1" si="3"/>
        <v>-</v>
      </c>
      <c r="C64" s="1" t="str">
        <f t="shared" ca="1" si="2"/>
        <v>-</v>
      </c>
      <c r="D64" s="21" t="str">
        <f t="shared" ca="1" si="4"/>
        <v>-</v>
      </c>
    </row>
    <row r="65" spans="2:4" x14ac:dyDescent="0.25">
      <c r="B65" s="11" t="str">
        <f t="shared" ca="1" si="3"/>
        <v>-</v>
      </c>
      <c r="C65" s="1" t="str">
        <f t="shared" ca="1" si="2"/>
        <v>-</v>
      </c>
      <c r="D65" s="21" t="str">
        <f t="shared" ca="1" si="4"/>
        <v>-</v>
      </c>
    </row>
    <row r="66" spans="2:4" x14ac:dyDescent="0.25">
      <c r="B66" s="11" t="str">
        <f t="shared" ca="1" si="3"/>
        <v>-</v>
      </c>
      <c r="C66" s="1" t="str">
        <f t="shared" ca="1" si="2"/>
        <v>-</v>
      </c>
      <c r="D66" s="21" t="str">
        <f t="shared" ca="1" si="4"/>
        <v>-</v>
      </c>
    </row>
    <row r="67" spans="2:4" x14ac:dyDescent="0.25">
      <c r="B67" s="11" t="str">
        <f t="shared" ca="1" si="3"/>
        <v>-</v>
      </c>
      <c r="C67" s="1" t="str">
        <f t="shared" ca="1" si="2"/>
        <v>-</v>
      </c>
      <c r="D67" s="21" t="str">
        <f t="shared" ca="1" si="4"/>
        <v>-</v>
      </c>
    </row>
    <row r="68" spans="2:4" x14ac:dyDescent="0.25">
      <c r="B68" s="11" t="str">
        <f t="shared" ca="1" si="3"/>
        <v>-</v>
      </c>
      <c r="C68" s="1" t="str">
        <f t="shared" ca="1" si="2"/>
        <v>-</v>
      </c>
      <c r="D68" s="21" t="str">
        <f t="shared" ca="1" si="4"/>
        <v>-</v>
      </c>
    </row>
    <row r="69" spans="2:4" x14ac:dyDescent="0.25">
      <c r="B69" s="11" t="str">
        <f t="shared" ca="1" si="3"/>
        <v>-</v>
      </c>
      <c r="C69" s="1" t="str">
        <f t="shared" ca="1" si="2"/>
        <v>-</v>
      </c>
      <c r="D69" s="21" t="str">
        <f t="shared" ca="1" si="4"/>
        <v>-</v>
      </c>
    </row>
    <row r="70" spans="2:4" x14ac:dyDescent="0.25">
      <c r="B70" s="11" t="str">
        <f t="shared" ca="1" si="3"/>
        <v>-</v>
      </c>
      <c r="C70" s="1" t="str">
        <f t="shared" ca="1" si="2"/>
        <v>-</v>
      </c>
      <c r="D70" s="21" t="str">
        <f t="shared" ca="1" si="4"/>
        <v>-</v>
      </c>
    </row>
    <row r="71" spans="2:4" x14ac:dyDescent="0.25">
      <c r="B71" s="11" t="str">
        <f t="shared" ca="1" si="3"/>
        <v>-</v>
      </c>
      <c r="C71" s="1" t="str">
        <f t="shared" ca="1" si="2"/>
        <v>-</v>
      </c>
      <c r="D71" s="21" t="str">
        <f t="shared" ca="1" si="4"/>
        <v>-</v>
      </c>
    </row>
    <row r="72" spans="2:4" x14ac:dyDescent="0.25">
      <c r="B72" s="11" t="str">
        <f t="shared" ca="1" si="3"/>
        <v>-</v>
      </c>
      <c r="C72" s="1" t="str">
        <f t="shared" ca="1" si="2"/>
        <v>-</v>
      </c>
      <c r="D72" s="21" t="str">
        <f t="shared" ca="1" si="4"/>
        <v>-</v>
      </c>
    </row>
    <row r="73" spans="2:4" x14ac:dyDescent="0.25">
      <c r="B73" s="11" t="str">
        <f t="shared" ca="1" si="3"/>
        <v>-</v>
      </c>
      <c r="C73" s="1" t="str">
        <f t="shared" ca="1" si="2"/>
        <v>-</v>
      </c>
      <c r="D73" s="21" t="str">
        <f t="shared" ca="1" si="4"/>
        <v>-</v>
      </c>
    </row>
    <row r="74" spans="2:4" x14ac:dyDescent="0.25">
      <c r="B74" s="11" t="str">
        <f t="shared" ca="1" si="3"/>
        <v>-</v>
      </c>
      <c r="C74" s="1" t="str">
        <f t="shared" ca="1" si="2"/>
        <v>-</v>
      </c>
      <c r="D74" s="21" t="str">
        <f t="shared" ca="1" si="4"/>
        <v>-</v>
      </c>
    </row>
    <row r="75" spans="2:4" x14ac:dyDescent="0.25">
      <c r="B75" s="11" t="str">
        <f t="shared" ca="1" si="3"/>
        <v>-</v>
      </c>
      <c r="C75" s="1" t="str">
        <f t="shared" ca="1" si="2"/>
        <v>-</v>
      </c>
      <c r="D75" s="21" t="str">
        <f t="shared" ca="1" si="4"/>
        <v>-</v>
      </c>
    </row>
    <row r="76" spans="2:4" x14ac:dyDescent="0.25">
      <c r="B76" s="11" t="str">
        <f t="shared" ca="1" si="3"/>
        <v>-</v>
      </c>
      <c r="C76" s="1" t="str">
        <f t="shared" ca="1" si="2"/>
        <v>-</v>
      </c>
      <c r="D76" s="21" t="str">
        <f t="shared" ca="1" si="4"/>
        <v>-</v>
      </c>
    </row>
    <row r="77" spans="2:4" x14ac:dyDescent="0.25">
      <c r="B77" s="11" t="str">
        <f t="shared" ca="1" si="3"/>
        <v>-</v>
      </c>
      <c r="C77" s="1" t="str">
        <f t="shared" ca="1" si="2"/>
        <v>-</v>
      </c>
      <c r="D77" s="21" t="str">
        <f t="shared" ca="1" si="4"/>
        <v>-</v>
      </c>
    </row>
    <row r="78" spans="2:4" x14ac:dyDescent="0.25">
      <c r="B78" s="11" t="str">
        <f t="shared" ca="1" si="3"/>
        <v>-</v>
      </c>
      <c r="C78" s="1" t="str">
        <f t="shared" ca="1" si="2"/>
        <v>-</v>
      </c>
      <c r="D78" s="21" t="str">
        <f t="shared" ca="1" si="4"/>
        <v>-</v>
      </c>
    </row>
    <row r="79" spans="2:4" x14ac:dyDescent="0.25">
      <c r="B79" s="11" t="str">
        <f t="shared" ca="1" si="3"/>
        <v>-</v>
      </c>
      <c r="C79" s="1" t="str">
        <f t="shared" ca="1" si="2"/>
        <v>-</v>
      </c>
      <c r="D79" s="21" t="str">
        <f t="shared" ca="1" si="4"/>
        <v>-</v>
      </c>
    </row>
    <row r="80" spans="2:4" x14ac:dyDescent="0.25">
      <c r="B80" s="11" t="str">
        <f t="shared" ca="1" si="3"/>
        <v>-</v>
      </c>
      <c r="C80" s="1" t="str">
        <f t="shared" ca="1" si="2"/>
        <v>-</v>
      </c>
      <c r="D80" s="21" t="str">
        <f t="shared" ca="1" si="4"/>
        <v>-</v>
      </c>
    </row>
    <row r="81" spans="2:4" x14ac:dyDescent="0.25">
      <c r="B81" s="11" t="str">
        <f t="shared" ca="1" si="3"/>
        <v>-</v>
      </c>
      <c r="C81" s="1" t="str">
        <f t="shared" ca="1" si="2"/>
        <v>-</v>
      </c>
      <c r="D81" s="21" t="str">
        <f t="shared" ca="1" si="4"/>
        <v>-</v>
      </c>
    </row>
    <row r="82" spans="2:4" x14ac:dyDescent="0.25">
      <c r="B82" s="11" t="str">
        <f t="shared" ca="1" si="3"/>
        <v>-</v>
      </c>
      <c r="C82" s="1" t="str">
        <f t="shared" ca="1" si="2"/>
        <v>-</v>
      </c>
      <c r="D82" s="21" t="str">
        <f t="shared" ca="1" si="4"/>
        <v>-</v>
      </c>
    </row>
    <row r="83" spans="2:4" x14ac:dyDescent="0.25">
      <c r="B83" s="11" t="str">
        <f t="shared" ca="1" si="3"/>
        <v>-</v>
      </c>
      <c r="C83" s="1" t="str">
        <f t="shared" ca="1" si="2"/>
        <v>-</v>
      </c>
      <c r="D83" s="21" t="str">
        <f t="shared" ca="1" si="4"/>
        <v>-</v>
      </c>
    </row>
    <row r="84" spans="2:4" x14ac:dyDescent="0.25">
      <c r="B84" s="11" t="str">
        <f t="shared" ca="1" si="3"/>
        <v>-</v>
      </c>
      <c r="C84" s="1" t="str">
        <f t="shared" ca="1" si="2"/>
        <v>-</v>
      </c>
      <c r="D84" s="21" t="str">
        <f t="shared" ca="1" si="4"/>
        <v>-</v>
      </c>
    </row>
    <row r="85" spans="2:4" x14ac:dyDescent="0.25">
      <c r="B85" s="11" t="str">
        <f t="shared" ca="1" si="3"/>
        <v>-</v>
      </c>
      <c r="C85" s="1" t="str">
        <f t="shared" ca="1" si="2"/>
        <v>-</v>
      </c>
      <c r="D85" s="21" t="str">
        <f t="shared" ca="1" si="4"/>
        <v>-</v>
      </c>
    </row>
    <row r="86" spans="2:4" x14ac:dyDescent="0.25">
      <c r="B86" s="11" t="str">
        <f t="shared" ca="1" si="3"/>
        <v>-</v>
      </c>
      <c r="C86" s="1" t="str">
        <f t="shared" ca="1" si="2"/>
        <v>-</v>
      </c>
      <c r="D86" s="21" t="str">
        <f t="shared" ca="1" si="4"/>
        <v>-</v>
      </c>
    </row>
    <row r="87" spans="2:4" x14ac:dyDescent="0.25">
      <c r="B87" s="11" t="str">
        <f t="shared" ca="1" si="3"/>
        <v>-</v>
      </c>
      <c r="C87" s="1" t="str">
        <f t="shared" ca="1" si="2"/>
        <v>-</v>
      </c>
      <c r="D87" s="21" t="str">
        <f t="shared" ca="1" si="4"/>
        <v>-</v>
      </c>
    </row>
    <row r="88" spans="2:4" x14ac:dyDescent="0.25">
      <c r="B88" s="11" t="str">
        <f t="shared" ca="1" si="3"/>
        <v>-</v>
      </c>
      <c r="C88" s="1" t="str">
        <f t="shared" ca="1" si="2"/>
        <v>-</v>
      </c>
      <c r="D88" s="21" t="str">
        <f t="shared" ca="1" si="4"/>
        <v>-</v>
      </c>
    </row>
    <row r="89" spans="2:4" x14ac:dyDescent="0.25">
      <c r="B89" s="11" t="str">
        <f t="shared" ca="1" si="3"/>
        <v>-</v>
      </c>
      <c r="C89" s="1" t="str">
        <f t="shared" ca="1" si="2"/>
        <v>-</v>
      </c>
      <c r="D89" s="21" t="str">
        <f t="shared" ca="1" si="4"/>
        <v>-</v>
      </c>
    </row>
    <row r="90" spans="2:4" x14ac:dyDescent="0.25">
      <c r="B90" s="11" t="str">
        <f t="shared" ca="1" si="3"/>
        <v>-</v>
      </c>
      <c r="C90" s="1" t="str">
        <f t="shared" ca="1" si="2"/>
        <v>-</v>
      </c>
      <c r="D90" s="21" t="str">
        <f t="shared" ca="1" si="4"/>
        <v>-</v>
      </c>
    </row>
    <row r="91" spans="2:4" x14ac:dyDescent="0.25">
      <c r="B91" s="11" t="str">
        <f t="shared" ca="1" si="3"/>
        <v>-</v>
      </c>
      <c r="C91" s="1" t="str">
        <f t="shared" ca="1" si="2"/>
        <v>-</v>
      </c>
      <c r="D91" s="21" t="str">
        <f t="shared" ca="1" si="4"/>
        <v>-</v>
      </c>
    </row>
    <row r="92" spans="2:4" x14ac:dyDescent="0.25">
      <c r="B92" s="11" t="str">
        <f t="shared" ca="1" si="3"/>
        <v>-</v>
      </c>
      <c r="C92" s="1" t="str">
        <f t="shared" ca="1" si="2"/>
        <v>-</v>
      </c>
      <c r="D92" s="21" t="str">
        <f t="shared" ca="1" si="4"/>
        <v>-</v>
      </c>
    </row>
    <row r="93" spans="2:4" x14ac:dyDescent="0.25">
      <c r="B93" s="11" t="str">
        <f t="shared" ca="1" si="3"/>
        <v>-</v>
      </c>
      <c r="C93" s="1" t="str">
        <f t="shared" ca="1" si="2"/>
        <v>-</v>
      </c>
      <c r="D93" s="21" t="str">
        <f t="shared" ca="1" si="4"/>
        <v>-</v>
      </c>
    </row>
    <row r="94" spans="2:4" x14ac:dyDescent="0.25">
      <c r="B94" s="11" t="str">
        <f t="shared" ca="1" si="3"/>
        <v>-</v>
      </c>
      <c r="C94" s="1" t="str">
        <f t="shared" ca="1" si="2"/>
        <v>-</v>
      </c>
      <c r="D94" s="21" t="str">
        <f t="shared" ca="1" si="4"/>
        <v>-</v>
      </c>
    </row>
    <row r="95" spans="2:4" x14ac:dyDescent="0.25">
      <c r="B95" s="11" t="str">
        <f t="shared" ca="1" si="3"/>
        <v>-</v>
      </c>
      <c r="C95" s="1" t="str">
        <f t="shared" ca="1" si="2"/>
        <v>-</v>
      </c>
      <c r="D95" s="21" t="str">
        <f t="shared" ca="1" si="4"/>
        <v>-</v>
      </c>
    </row>
    <row r="96" spans="2:4" x14ac:dyDescent="0.25">
      <c r="B96" s="11" t="str">
        <f t="shared" ca="1" si="3"/>
        <v>-</v>
      </c>
      <c r="C96" s="1" t="str">
        <f t="shared" ca="1" si="2"/>
        <v>-</v>
      </c>
      <c r="D96" s="21" t="str">
        <f t="shared" ca="1" si="4"/>
        <v>-</v>
      </c>
    </row>
    <row r="97" spans="2:4" x14ac:dyDescent="0.25">
      <c r="B97" s="11" t="str">
        <f t="shared" ca="1" si="3"/>
        <v>-</v>
      </c>
      <c r="C97" s="1" t="str">
        <f t="shared" ca="1" si="2"/>
        <v>-</v>
      </c>
      <c r="D97" s="21" t="str">
        <f t="shared" ca="1" si="4"/>
        <v>-</v>
      </c>
    </row>
    <row r="98" spans="2:4" x14ac:dyDescent="0.25">
      <c r="B98" s="11" t="str">
        <f t="shared" ca="1" si="3"/>
        <v>-</v>
      </c>
      <c r="C98" s="1" t="str">
        <f t="shared" ca="1" si="2"/>
        <v>-</v>
      </c>
      <c r="D98" s="21" t="str">
        <f t="shared" ca="1" si="4"/>
        <v>-</v>
      </c>
    </row>
    <row r="99" spans="2:4" x14ac:dyDescent="0.25">
      <c r="B99" s="11" t="str">
        <f t="shared" ca="1" si="3"/>
        <v>-</v>
      </c>
      <c r="C99" s="1" t="str">
        <f t="shared" ca="1" si="2"/>
        <v>-</v>
      </c>
      <c r="D99" s="21" t="str">
        <f t="shared" ca="1" si="4"/>
        <v>-</v>
      </c>
    </row>
    <row r="100" spans="2:4" x14ac:dyDescent="0.25">
      <c r="B100" s="11" t="str">
        <f t="shared" ca="1" si="3"/>
        <v>-</v>
      </c>
      <c r="C100" s="1" t="str">
        <f t="shared" ca="1" si="2"/>
        <v>-</v>
      </c>
      <c r="D100" s="21" t="str">
        <f t="shared" ca="1" si="4"/>
        <v>-</v>
      </c>
    </row>
    <row r="101" spans="2:4" x14ac:dyDescent="0.25">
      <c r="B101" s="11" t="str">
        <f t="shared" ca="1" si="3"/>
        <v>-</v>
      </c>
      <c r="C101" s="1" t="str">
        <f t="shared" ref="C101:C103" ca="1" si="5">IFERROR(INDIRECT("Лист1!C"&amp;B101),"-")</f>
        <v>-</v>
      </c>
      <c r="D101" s="21" t="str">
        <f t="shared" ca="1" si="4"/>
        <v>-</v>
      </c>
    </row>
    <row r="102" spans="2:4" x14ac:dyDescent="0.25">
      <c r="B102" s="11" t="str">
        <f t="shared" ca="1" si="3"/>
        <v>-</v>
      </c>
      <c r="C102" s="1" t="str">
        <f t="shared" ca="1" si="5"/>
        <v>-</v>
      </c>
      <c r="D102" s="21" t="str">
        <f t="shared" ca="1" si="4"/>
        <v>-</v>
      </c>
    </row>
    <row r="103" spans="2:4" x14ac:dyDescent="0.25">
      <c r="B103" s="11" t="str">
        <f t="shared" ca="1" si="3"/>
        <v>-</v>
      </c>
      <c r="C103" s="1" t="str">
        <f t="shared" ca="1" si="5"/>
        <v>-</v>
      </c>
      <c r="D103" s="21" t="str">
        <f t="shared" ca="1" si="4"/>
        <v>-</v>
      </c>
    </row>
  </sheetData>
  <mergeCells count="14">
    <mergeCell ref="B14:C14"/>
    <mergeCell ref="B15:C15"/>
    <mergeCell ref="B8:C8"/>
    <mergeCell ref="B9:C9"/>
    <mergeCell ref="B10:C10"/>
    <mergeCell ref="B11:C11"/>
    <mergeCell ref="B12:C12"/>
    <mergeCell ref="B13:C13"/>
    <mergeCell ref="B2:C2"/>
    <mergeCell ref="B3:C3"/>
    <mergeCell ref="B4:C4"/>
    <mergeCell ref="B5:C5"/>
    <mergeCell ref="B6:C6"/>
    <mergeCell ref="B7:C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Лист1</vt:lpstr>
      <vt:lpstr>SBER</vt:lpstr>
      <vt:lpstr>GAZP</vt:lpstr>
      <vt:lpstr>Даты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Igoryan</dc:creator>
  <cp:lastModifiedBy>Шувалов Игорь Аркадьевич</cp:lastModifiedBy>
  <dcterms:created xsi:type="dcterms:W3CDTF">2020-12-19T08:09:06Z</dcterms:created>
  <dcterms:modified xsi:type="dcterms:W3CDTF">2020-12-23T13:56:32Z</dcterms:modified>
</cp:coreProperties>
</file>